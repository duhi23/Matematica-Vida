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autoCompressPictures="0"/>
  <bookViews>
    <workbookView xWindow="0" yWindow="0" windowWidth="25600" windowHeight="14580" tabRatio="500"/>
  </bookViews>
  <sheets>
    <sheet name="Generador" sheetId="2" r:id="rId1"/>
    <sheet name="Base" sheetId="1" r:id="rId2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0" i="2" l="1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E101" i="2"/>
  <c r="F101" i="2"/>
  <c r="E102" i="2"/>
  <c r="F102" i="2"/>
  <c r="E103" i="2"/>
  <c r="F103" i="2"/>
  <c r="E104" i="2"/>
  <c r="F104" i="2"/>
  <c r="E105" i="2"/>
  <c r="L5" i="2"/>
  <c r="M5" i="2"/>
  <c r="I5" i="2"/>
  <c r="J5" i="2"/>
  <c r="C7" i="2"/>
  <c r="F105" i="2"/>
  <c r="E106" i="2"/>
  <c r="F106" i="2"/>
  <c r="E107" i="2"/>
  <c r="F107" i="2"/>
  <c r="E108" i="2"/>
  <c r="F108" i="2"/>
  <c r="E109" i="2"/>
  <c r="F109" i="2"/>
  <c r="E110" i="2"/>
  <c r="F110" i="2"/>
  <c r="E111" i="2"/>
  <c r="F111" i="2"/>
  <c r="E112" i="2"/>
  <c r="F112" i="2"/>
  <c r="E113" i="2"/>
  <c r="F113" i="2"/>
  <c r="E114" i="2"/>
  <c r="F114" i="2"/>
  <c r="E115" i="2"/>
  <c r="F115" i="2"/>
  <c r="E116" i="2"/>
  <c r="F116" i="2"/>
  <c r="E117" i="2"/>
  <c r="F117" i="2"/>
  <c r="E118" i="2"/>
  <c r="F118" i="2"/>
  <c r="E119" i="2"/>
  <c r="F119" i="2"/>
  <c r="E120" i="2"/>
  <c r="F120" i="2"/>
  <c r="E121" i="2"/>
  <c r="F121" i="2"/>
  <c r="E122" i="2"/>
  <c r="F122" i="2"/>
  <c r="E123" i="2"/>
  <c r="F123" i="2"/>
  <c r="E124" i="2"/>
  <c r="F124" i="2"/>
  <c r="E125" i="2"/>
  <c r="F125" i="2"/>
</calcChain>
</file>

<file path=xl/sharedStrings.xml><?xml version="1.0" encoding="utf-8"?>
<sst xmlns="http://schemas.openxmlformats.org/spreadsheetml/2006/main" count="43" uniqueCount="31">
  <si>
    <t>Año de</t>
  </si>
  <si>
    <t xml:space="preserve"> Tabla Base. qx ( en tanto por mil )</t>
  </si>
  <si>
    <r>
      <t>Factor de mejora de q</t>
    </r>
    <r>
      <rPr>
        <b/>
        <vertAlign val="subscript"/>
        <sz val="12"/>
        <color rgb="FF000000"/>
        <rFont val="Times New Roman"/>
      </rPr>
      <t>x</t>
    </r>
    <r>
      <rPr>
        <b/>
        <sz val="12"/>
        <color rgb="FF000000"/>
        <rFont val="Times New Roman"/>
      </rPr>
      <t xml:space="preserve"> (</t>
    </r>
    <r>
      <rPr>
        <sz val="12"/>
        <color rgb="FF000000"/>
        <rFont val="Times New Roman"/>
      </rPr>
      <t xml:space="preserve"> </t>
    </r>
    <r>
      <rPr>
        <b/>
        <sz val="12"/>
        <color rgb="FF000000"/>
        <rFont val="Times New Roman"/>
      </rPr>
      <t>)</t>
    </r>
  </si>
  <si>
    <t>Nacimiento</t>
  </si>
  <si>
    <t>Hombres</t>
  </si>
  <si>
    <t>Mujeres</t>
  </si>
  <si>
    <t>PERM/F2000C</t>
  </si>
  <si>
    <t>PERM/F2000P</t>
  </si>
  <si>
    <r>
      <t>Factor de mejora de qx (</t>
    </r>
    <r>
      <rPr>
        <sz val="12"/>
        <color rgb="FF000000"/>
        <rFont val="Times New Roman"/>
      </rPr>
      <t xml:space="preserve"> </t>
    </r>
    <r>
      <rPr>
        <b/>
        <sz val="12"/>
        <color rgb="FF000000"/>
        <rFont val="Times New Roman"/>
      </rPr>
      <t>)</t>
    </r>
  </si>
  <si>
    <t>SUPERVIVIENCIA</t>
  </si>
  <si>
    <t>MORTALIDAD</t>
  </si>
  <si>
    <t>qx</t>
  </si>
  <si>
    <t>lx</t>
  </si>
  <si>
    <t>TABLAS DE SUPERVIVENCIA</t>
  </si>
  <si>
    <t>TABLA</t>
  </si>
  <si>
    <t>F2000C</t>
  </si>
  <si>
    <t>F2000P</t>
  </si>
  <si>
    <t>AÑO</t>
  </si>
  <si>
    <t>GÉNERO</t>
  </si>
  <si>
    <t>MASCULINO</t>
  </si>
  <si>
    <t>FEMENINO</t>
  </si>
  <si>
    <t>Edad</t>
  </si>
  <si>
    <t>px</t>
  </si>
  <si>
    <t>dx</t>
  </si>
  <si>
    <t>t</t>
  </si>
  <si>
    <t>tPx</t>
  </si>
  <si>
    <t>Parámetro</t>
  </si>
  <si>
    <t>x</t>
  </si>
  <si>
    <t>Valor</t>
  </si>
  <si>
    <t>tQx</t>
  </si>
  <si>
    <t>lx+t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</si>
</sst>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"/>
    <numFmt numFmtId="165" formatCode="0.000000"/>
  </numFmts>
  <fonts count="12" x14ac:knownFonts="1">
    <font>
      <sz val="12"/>
      <color theme="1"/>
      <name val="Calibri"/>
      <family val="2"/>
      <scheme val="minor"/>
    </font>
    <font>
      <b/>
      <sz val="12"/>
      <color rgb="FF000000"/>
      <name val="Times New Roman"/>
    </font>
    <font>
      <b/>
      <vertAlign val="subscript"/>
      <sz val="12"/>
      <color rgb="FF000000"/>
      <name val="Times New Roman"/>
    </font>
    <font>
      <sz val="12"/>
      <color rgb="FF000000"/>
      <name val="Times New Roman"/>
    </font>
    <font>
      <b/>
      <sz val="16"/>
      <color theme="1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</font>
    <font>
      <sz val="12"/>
      <color theme="0"/>
      <name val="Calibri"/>
      <family val="2"/>
      <scheme val="minor"/>
    </font>
    <font>
      <sz val="14"/>
      <color theme="1"/>
      <name val="Calibri"/>
      <scheme val="minor"/>
    </font>
    <font>
      <b/>
      <sz val="14"/>
      <color theme="1"/>
      <name val="Calibri"/>
      <scheme val="minor"/>
    </font>
    <font>
      <b/>
      <sz val="18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rgb="FF000000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5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4" fillId="0" borderId="0" xfId="0" applyFont="1"/>
    <xf numFmtId="4" fontId="3" fillId="0" borderId="10" xfId="0" applyNumberFormat="1" applyFont="1" applyBorder="1" applyAlignment="1">
      <alignment horizontal="center" vertical="center" wrapText="1"/>
    </xf>
    <xf numFmtId="2" fontId="0" fillId="0" borderId="0" xfId="0" applyNumberFormat="1"/>
    <xf numFmtId="164" fontId="0" fillId="0" borderId="0" xfId="0" applyNumberFormat="1"/>
    <xf numFmtId="2" fontId="0" fillId="0" borderId="11" xfId="0" applyNumberFormat="1" applyBorder="1"/>
    <xf numFmtId="165" fontId="0" fillId="0" borderId="11" xfId="0" applyNumberFormat="1" applyBorder="1"/>
    <xf numFmtId="0" fontId="0" fillId="0" borderId="11" xfId="0" applyBorder="1" applyAlignment="1">
      <alignment horizontal="center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/>
    </xf>
    <xf numFmtId="0" fontId="8" fillId="0" borderId="0" xfId="0" applyFont="1"/>
    <xf numFmtId="0" fontId="8" fillId="0" borderId="12" xfId="0" applyFont="1" applyFill="1" applyBorder="1" applyAlignment="1">
      <alignment horizontal="center" vertical="center"/>
    </xf>
    <xf numFmtId="0" fontId="0" fillId="5" borderId="0" xfId="0" applyFill="1"/>
    <xf numFmtId="0" fontId="8" fillId="5" borderId="0" xfId="0" applyFont="1" applyFill="1"/>
    <xf numFmtId="0" fontId="9" fillId="0" borderId="11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165" fontId="9" fillId="6" borderId="11" xfId="0" applyNumberFormat="1" applyFont="1" applyFill="1" applyBorder="1" applyAlignment="1">
      <alignment horizontal="center" vertical="center"/>
    </xf>
    <xf numFmtId="165" fontId="9" fillId="7" borderId="11" xfId="0" applyNumberFormat="1" applyFont="1" applyFill="1" applyBorder="1" applyAlignment="1">
      <alignment horizontal="center" vertical="center"/>
    </xf>
    <xf numFmtId="0" fontId="9" fillId="5" borderId="11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7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</cellXfs>
  <cellStyles count="5">
    <cellStyle name="Hipervínculo" xfId="1" builtinId="8" hidden="1"/>
    <cellStyle name="Hipervínculo" xfId="3" builtinId="8" hidden="1"/>
    <cellStyle name="Hipervínculo visitado" xfId="2" builtinId="9" hidden="1"/>
    <cellStyle name="Hipervínculo visitado" xfId="4" builtinId="9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469900</xdr:colOff>
          <xdr:row>3</xdr:row>
          <xdr:rowOff>25400</xdr:rowOff>
        </xdr:from>
        <xdr:to>
          <xdr:col>5</xdr:col>
          <xdr:colOff>25400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Tabla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3</xdr:row>
      <xdr:rowOff>0</xdr:rowOff>
    </xdr:from>
    <xdr:to>
      <xdr:col>4</xdr:col>
      <xdr:colOff>165100</xdr:colOff>
      <xdr:row>3</xdr:row>
      <xdr:rowOff>215900</xdr:rowOff>
    </xdr:to>
    <xdr:pic>
      <xdr:nvPicPr>
        <xdr:cNvPr id="1025" name="Picture 1" descr="0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7500" y="647700"/>
          <a:ext cx="1651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</xdr:row>
      <xdr:rowOff>0</xdr:rowOff>
    </xdr:from>
    <xdr:to>
      <xdr:col>10</xdr:col>
      <xdr:colOff>165100</xdr:colOff>
      <xdr:row>3</xdr:row>
      <xdr:rowOff>215900</xdr:rowOff>
    </xdr:to>
    <xdr:pic>
      <xdr:nvPicPr>
        <xdr:cNvPr id="1026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4000" y="647700"/>
          <a:ext cx="1651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M130"/>
  <sheetViews>
    <sheetView tabSelected="1" workbookViewId="0">
      <selection activeCell="E28" sqref="E28"/>
    </sheetView>
  </sheetViews>
  <sheetFormatPr baseColWidth="10" defaultColWidth="0" defaultRowHeight="15" zeroHeight="1" x14ac:dyDescent="0"/>
  <cols>
    <col min="1" max="2" width="10.83203125" customWidth="1"/>
    <col min="3" max="6" width="15.83203125" customWidth="1"/>
    <col min="7" max="7" width="11.83203125" customWidth="1"/>
    <col min="8" max="11" width="10.83203125" customWidth="1"/>
    <col min="12" max="13" width="0" hidden="1" customWidth="1"/>
    <col min="14" max="16384" width="10.83203125" hidden="1"/>
  </cols>
  <sheetData>
    <row r="1" spans="1:13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</row>
    <row r="2" spans="1:13" ht="23" customHeight="1">
      <c r="A2" s="22"/>
      <c r="B2" s="30" t="s">
        <v>13</v>
      </c>
      <c r="C2" s="30"/>
      <c r="D2" s="30"/>
      <c r="E2" s="30"/>
      <c r="F2" s="30"/>
      <c r="G2" s="22"/>
      <c r="H2" s="22"/>
      <c r="I2" s="22"/>
      <c r="J2" s="22"/>
      <c r="K2" s="22"/>
    </row>
    <row r="3" spans="1:13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</row>
    <row r="4" spans="1:13" ht="18" customHeight="1">
      <c r="A4" s="22"/>
      <c r="B4" s="25" t="s">
        <v>14</v>
      </c>
      <c r="C4" s="24" t="s">
        <v>16</v>
      </c>
      <c r="F4" s="22"/>
      <c r="G4" s="26" t="s">
        <v>26</v>
      </c>
      <c r="H4" s="26" t="s">
        <v>28</v>
      </c>
      <c r="I4" s="26" t="s">
        <v>25</v>
      </c>
      <c r="J4" s="26" t="s">
        <v>29</v>
      </c>
      <c r="K4" s="22"/>
      <c r="L4" s="21" t="s">
        <v>30</v>
      </c>
      <c r="M4" s="21" t="s">
        <v>12</v>
      </c>
    </row>
    <row r="5" spans="1:13" ht="18" customHeight="1">
      <c r="A5" s="22"/>
      <c r="B5" s="25" t="s">
        <v>17</v>
      </c>
      <c r="C5" s="24">
        <v>1998</v>
      </c>
      <c r="D5" s="22"/>
      <c r="F5" s="22"/>
      <c r="G5" s="24" t="s">
        <v>24</v>
      </c>
      <c r="H5" s="24">
        <v>6</v>
      </c>
      <c r="I5" s="27">
        <f>+L5/M5</f>
        <v>0.99820157521378183</v>
      </c>
      <c r="J5" s="28">
        <f>1-I5</f>
        <v>1.7984247862181668E-3</v>
      </c>
      <c r="K5" s="22"/>
      <c r="L5" s="20">
        <f>+VLOOKUP(H5+H6,$B$10:$E$125,4,FALSE)</f>
        <v>989775.07321488427</v>
      </c>
      <c r="M5" s="20">
        <f>+VLOOKUP(H6,$B$10:$E$125,4,FALSE)</f>
        <v>991558.31626784115</v>
      </c>
    </row>
    <row r="6" spans="1:13" ht="18" customHeight="1">
      <c r="A6" s="22"/>
      <c r="B6" s="25" t="s">
        <v>18</v>
      </c>
      <c r="C6" s="24" t="s">
        <v>19</v>
      </c>
      <c r="F6" s="22"/>
      <c r="G6" s="24" t="s">
        <v>27</v>
      </c>
      <c r="H6" s="24">
        <v>12</v>
      </c>
      <c r="I6" s="29"/>
      <c r="J6" s="29"/>
    </row>
    <row r="7" spans="1:13">
      <c r="A7" s="22"/>
      <c r="B7" s="22"/>
      <c r="C7" s="23">
        <f>+IF(C5&gt;2000,2000,C5)</f>
        <v>1998</v>
      </c>
      <c r="D7" s="22"/>
      <c r="E7" s="22"/>
      <c r="F7" s="22"/>
      <c r="G7" s="22"/>
      <c r="H7" s="22"/>
      <c r="I7" s="22"/>
      <c r="J7" s="22"/>
      <c r="K7" s="22"/>
    </row>
    <row r="8" spans="1:13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</row>
    <row r="9" spans="1:13" ht="20">
      <c r="A9" s="22"/>
      <c r="B9" s="19" t="s">
        <v>21</v>
      </c>
      <c r="C9" s="19" t="s">
        <v>11</v>
      </c>
      <c r="D9" s="19" t="s">
        <v>22</v>
      </c>
      <c r="E9" s="19" t="s">
        <v>12</v>
      </c>
      <c r="F9" s="19" t="s">
        <v>23</v>
      </c>
      <c r="G9" s="22"/>
      <c r="H9" s="22"/>
      <c r="I9" s="22"/>
      <c r="J9" s="22"/>
      <c r="K9" s="22"/>
    </row>
    <row r="10" spans="1:13">
      <c r="A10" s="22"/>
      <c r="B10" s="16">
        <v>0</v>
      </c>
      <c r="C10" s="15">
        <v>5.9168699339610942E-3</v>
      </c>
      <c r="D10" s="15">
        <v>0.99408313006603888</v>
      </c>
      <c r="E10" s="14">
        <v>1000000</v>
      </c>
      <c r="F10" s="14">
        <f>+E10*C10</f>
        <v>5916.8699339610939</v>
      </c>
      <c r="G10" s="22"/>
      <c r="H10" s="22"/>
      <c r="I10" s="22"/>
      <c r="J10" s="22"/>
      <c r="K10" s="22"/>
    </row>
    <row r="11" spans="1:13">
      <c r="A11" s="22"/>
      <c r="B11" s="16">
        <v>1</v>
      </c>
      <c r="C11" s="15">
        <v>5.7353888150788108E-4</v>
      </c>
      <c r="D11" s="15">
        <v>0.99942646111849209</v>
      </c>
      <c r="E11" s="14">
        <f>+E10-F10</f>
        <v>994083.13006603892</v>
      </c>
      <c r="F11" s="14">
        <f>+E11*C11</f>
        <v>570.1453265439294</v>
      </c>
      <c r="G11" s="22"/>
      <c r="H11" s="22"/>
      <c r="I11" s="22"/>
      <c r="J11" s="22"/>
      <c r="K11" s="22"/>
    </row>
    <row r="12" spans="1:13">
      <c r="A12" s="22"/>
      <c r="B12" s="16">
        <v>2</v>
      </c>
      <c r="C12" s="15">
        <v>2.9999999999999997E-4</v>
      </c>
      <c r="D12" s="15">
        <v>0.99970000000000003</v>
      </c>
      <c r="E12" s="14">
        <f>+E11-F11</f>
        <v>993512.98473949498</v>
      </c>
      <c r="F12" s="14">
        <f>+E12*C12</f>
        <v>298.05389542184849</v>
      </c>
      <c r="G12" s="22"/>
      <c r="H12" s="22"/>
      <c r="I12" s="22"/>
      <c r="J12" s="22"/>
      <c r="K12" s="22"/>
    </row>
    <row r="13" spans="1:13">
      <c r="A13" s="22"/>
      <c r="B13" s="16">
        <v>3</v>
      </c>
      <c r="C13" s="15">
        <v>2.6203977593441469E-4</v>
      </c>
      <c r="D13" s="15">
        <v>0.99973796022406558</v>
      </c>
      <c r="E13" s="14">
        <f t="shared" ref="E13:E75" si="0">+E12-F12</f>
        <v>993214.93084407318</v>
      </c>
      <c r="F13" s="14">
        <f t="shared" ref="F13:F75" si="1">+E13*C13</f>
        <v>260.2618179330961</v>
      </c>
      <c r="G13" s="22"/>
      <c r="H13" s="22"/>
      <c r="I13" s="22"/>
      <c r="J13" s="22"/>
      <c r="K13" s="22"/>
    </row>
    <row r="14" spans="1:13">
      <c r="A14" s="22"/>
      <c r="B14" s="16">
        <v>4</v>
      </c>
      <c r="C14" s="15">
        <v>2.1835024504841433E-4</v>
      </c>
      <c r="D14" s="15">
        <v>0.99978164975495154</v>
      </c>
      <c r="E14" s="14">
        <f t="shared" si="0"/>
        <v>992954.66902614012</v>
      </c>
      <c r="F14" s="14">
        <f t="shared" si="1"/>
        <v>216.81189530382485</v>
      </c>
      <c r="G14" s="22"/>
      <c r="H14" s="22"/>
      <c r="I14" s="22"/>
      <c r="J14" s="22"/>
      <c r="K14" s="22"/>
    </row>
    <row r="15" spans="1:13">
      <c r="A15" s="22"/>
      <c r="B15" s="16">
        <v>5</v>
      </c>
      <c r="C15" s="15">
        <v>2.0840745103961581E-4</v>
      </c>
      <c r="D15" s="15">
        <v>0.99979159254896044</v>
      </c>
      <c r="E15" s="14">
        <f t="shared" si="0"/>
        <v>992737.85713083635</v>
      </c>
      <c r="F15" s="14">
        <f t="shared" si="1"/>
        <v>206.89396635516789</v>
      </c>
      <c r="G15" s="22"/>
      <c r="H15" s="22"/>
      <c r="I15" s="22"/>
      <c r="J15" s="22"/>
      <c r="K15" s="22"/>
    </row>
    <row r="16" spans="1:13">
      <c r="A16" s="22"/>
      <c r="B16" s="16">
        <v>6</v>
      </c>
      <c r="C16" s="15">
        <v>1.8646937764968125E-4</v>
      </c>
      <c r="D16" s="15">
        <v>0.99981353062235034</v>
      </c>
      <c r="E16" s="14">
        <f t="shared" si="0"/>
        <v>992530.96316448122</v>
      </c>
      <c r="F16" s="14">
        <f t="shared" si="1"/>
        <v>185.07663099931952</v>
      </c>
      <c r="G16" s="22"/>
      <c r="H16" s="22"/>
      <c r="I16" s="22"/>
      <c r="J16" s="22"/>
      <c r="K16" s="22"/>
    </row>
    <row r="17" spans="1:11">
      <c r="A17" s="22"/>
      <c r="B17" s="16">
        <v>7</v>
      </c>
      <c r="C17" s="15">
        <v>1.7719900588875358E-4</v>
      </c>
      <c r="D17" s="15">
        <v>0.99982280099411125</v>
      </c>
      <c r="E17" s="14">
        <f t="shared" si="0"/>
        <v>992345.88653348188</v>
      </c>
      <c r="F17" s="14">
        <f t="shared" si="1"/>
        <v>175.84270459152685</v>
      </c>
      <c r="G17" s="22"/>
      <c r="H17" s="22"/>
      <c r="I17" s="22"/>
      <c r="J17" s="22"/>
      <c r="K17" s="22"/>
    </row>
    <row r="18" spans="1:11">
      <c r="A18" s="22"/>
      <c r="B18" s="16">
        <v>8</v>
      </c>
      <c r="C18" s="15">
        <v>1.617658197930074E-4</v>
      </c>
      <c r="D18" s="15">
        <v>0.99983823418020701</v>
      </c>
      <c r="E18" s="14">
        <f t="shared" si="0"/>
        <v>992170.04382889031</v>
      </c>
      <c r="F18" s="14">
        <f t="shared" si="1"/>
        <v>160.49920051404453</v>
      </c>
      <c r="G18" s="22"/>
      <c r="H18" s="22"/>
      <c r="I18" s="22"/>
      <c r="J18" s="22"/>
      <c r="K18" s="22"/>
    </row>
    <row r="19" spans="1:11">
      <c r="A19" s="22"/>
      <c r="B19" s="16">
        <v>9</v>
      </c>
      <c r="C19" s="15">
        <v>1.5395549336225141E-4</v>
      </c>
      <c r="D19" s="15">
        <v>0.99984604450663772</v>
      </c>
      <c r="E19" s="14">
        <f t="shared" si="0"/>
        <v>992009.54462837626</v>
      </c>
      <c r="F19" s="14">
        <f t="shared" si="1"/>
        <v>152.72531886332402</v>
      </c>
      <c r="G19" s="22"/>
      <c r="H19" s="22"/>
      <c r="I19" s="22"/>
      <c r="J19" s="22"/>
      <c r="K19" s="22"/>
    </row>
    <row r="20" spans="1:11">
      <c r="A20" s="22"/>
      <c r="B20" s="16">
        <v>10</v>
      </c>
      <c r="C20" s="15">
        <v>1.4545495162161383E-4</v>
      </c>
      <c r="D20" s="15">
        <v>0.99985454504837834</v>
      </c>
      <c r="E20" s="14">
        <f t="shared" si="0"/>
        <v>991856.81930951297</v>
      </c>
      <c r="F20" s="14">
        <f t="shared" si="1"/>
        <v>144.27048566823299</v>
      </c>
      <c r="G20" s="22"/>
      <c r="H20" s="22"/>
      <c r="I20" s="22"/>
      <c r="J20" s="22"/>
      <c r="K20" s="22"/>
    </row>
    <row r="21" spans="1:11">
      <c r="A21" s="22"/>
      <c r="B21" s="16">
        <v>11</v>
      </c>
      <c r="C21" s="15">
        <v>1.5552143228047012E-4</v>
      </c>
      <c r="D21" s="15">
        <v>0.99984447856771952</v>
      </c>
      <c r="E21" s="14">
        <f t="shared" si="0"/>
        <v>991712.54882384476</v>
      </c>
      <c r="F21" s="14">
        <f t="shared" si="1"/>
        <v>154.2325560036</v>
      </c>
      <c r="G21" s="22"/>
      <c r="H21" s="22"/>
      <c r="I21" s="22"/>
      <c r="J21" s="22"/>
      <c r="K21" s="22"/>
    </row>
    <row r="22" spans="1:11">
      <c r="A22" s="22"/>
      <c r="B22" s="16">
        <v>12</v>
      </c>
      <c r="C22" s="15">
        <v>1.5837026766221064E-4</v>
      </c>
      <c r="D22" s="15">
        <v>0.99984162973233781</v>
      </c>
      <c r="E22" s="14">
        <f t="shared" si="0"/>
        <v>991558.31626784115</v>
      </c>
      <c r="F22" s="14">
        <f t="shared" si="1"/>
        <v>157.03335595002892</v>
      </c>
      <c r="G22" s="22"/>
      <c r="H22" s="22"/>
      <c r="I22" s="22"/>
      <c r="J22" s="22"/>
      <c r="K22" s="22"/>
    </row>
    <row r="23" spans="1:11">
      <c r="A23" s="22"/>
      <c r="B23" s="16">
        <v>13</v>
      </c>
      <c r="C23" s="15">
        <v>1.8568872119525357E-4</v>
      </c>
      <c r="D23" s="15">
        <v>0.99981431127880471</v>
      </c>
      <c r="E23" s="14">
        <f t="shared" si="0"/>
        <v>991401.28291189112</v>
      </c>
      <c r="F23" s="14">
        <f t="shared" si="1"/>
        <v>184.09203641524286</v>
      </c>
      <c r="G23" s="22"/>
      <c r="H23" s="22"/>
      <c r="I23" s="22"/>
      <c r="J23" s="22"/>
      <c r="K23" s="22"/>
    </row>
    <row r="24" spans="1:11">
      <c r="A24" s="22"/>
      <c r="B24" s="16">
        <v>14</v>
      </c>
      <c r="C24" s="15">
        <v>2.2301714644680964E-4</v>
      </c>
      <c r="D24" s="15">
        <v>0.99977698285355321</v>
      </c>
      <c r="E24" s="14">
        <f t="shared" si="0"/>
        <v>991217.19087547588</v>
      </c>
      <c r="F24" s="14">
        <f t="shared" si="1"/>
        <v>221.05842941807128</v>
      </c>
      <c r="G24" s="22"/>
      <c r="H24" s="22"/>
      <c r="I24" s="22"/>
      <c r="J24" s="22"/>
      <c r="K24" s="22"/>
    </row>
    <row r="25" spans="1:11">
      <c r="A25" s="22"/>
      <c r="B25" s="16">
        <v>15</v>
      </c>
      <c r="C25" s="15">
        <v>2.9786614621627865E-4</v>
      </c>
      <c r="D25" s="15">
        <v>0.9997021338537837</v>
      </c>
      <c r="E25" s="14">
        <f t="shared" si="0"/>
        <v>990996.13244605786</v>
      </c>
      <c r="F25" s="14">
        <f t="shared" si="1"/>
        <v>295.1841988869441</v>
      </c>
      <c r="G25" s="22"/>
      <c r="H25" s="22"/>
      <c r="I25" s="22"/>
      <c r="J25" s="22"/>
      <c r="K25" s="22"/>
    </row>
    <row r="26" spans="1:11">
      <c r="A26" s="22"/>
      <c r="B26" s="16">
        <v>16</v>
      </c>
      <c r="C26" s="15">
        <v>4.101556284609147E-4</v>
      </c>
      <c r="D26" s="15">
        <v>0.99958984437153908</v>
      </c>
      <c r="E26" s="14">
        <f t="shared" si="0"/>
        <v>990700.94824717089</v>
      </c>
      <c r="F26" s="14">
        <f t="shared" si="1"/>
        <v>406.34157004514253</v>
      </c>
      <c r="G26" s="22"/>
      <c r="H26" s="22"/>
      <c r="I26" s="22"/>
      <c r="J26" s="22"/>
      <c r="K26" s="22"/>
    </row>
    <row r="27" spans="1:11">
      <c r="A27" s="22"/>
      <c r="B27" s="16">
        <v>17</v>
      </c>
      <c r="C27" s="15">
        <v>5.2462515572491075E-4</v>
      </c>
      <c r="D27" s="15">
        <v>0.99947537484427507</v>
      </c>
      <c r="E27" s="14">
        <f t="shared" si="0"/>
        <v>990294.60667712579</v>
      </c>
      <c r="F27" s="14">
        <f t="shared" si="1"/>
        <v>519.53346224152631</v>
      </c>
      <c r="G27" s="22"/>
      <c r="H27" s="22"/>
      <c r="I27" s="22"/>
      <c r="J27" s="22"/>
      <c r="K27" s="22"/>
    </row>
    <row r="28" spans="1:11">
      <c r="A28" s="22"/>
      <c r="B28" s="16">
        <v>18</v>
      </c>
      <c r="C28" s="15">
        <v>6.088499644655124E-4</v>
      </c>
      <c r="D28" s="15">
        <v>0.99939115003553447</v>
      </c>
      <c r="E28" s="14">
        <f t="shared" si="0"/>
        <v>989775.07321488427</v>
      </c>
      <c r="F28" s="14">
        <f t="shared" si="1"/>
        <v>602.62451815573218</v>
      </c>
      <c r="G28" s="22"/>
      <c r="H28" s="22"/>
      <c r="I28" s="22"/>
      <c r="J28" s="22"/>
      <c r="K28" s="22"/>
    </row>
    <row r="29" spans="1:11">
      <c r="A29" s="22"/>
      <c r="B29" s="16">
        <v>19</v>
      </c>
      <c r="C29" s="15">
        <v>6.7495226972410149E-4</v>
      </c>
      <c r="D29" s="15">
        <v>0.99932504773027586</v>
      </c>
      <c r="E29" s="14">
        <f t="shared" si="0"/>
        <v>989172.44869672856</v>
      </c>
      <c r="F29" s="14">
        <f t="shared" si="1"/>
        <v>667.64418939640427</v>
      </c>
      <c r="G29" s="22"/>
      <c r="H29" s="22"/>
      <c r="I29" s="22"/>
      <c r="J29" s="22"/>
      <c r="K29" s="22"/>
    </row>
    <row r="30" spans="1:11">
      <c r="A30" s="22"/>
      <c r="B30" s="16">
        <v>20</v>
      </c>
      <c r="C30" s="15">
        <v>7.4505838647276866E-4</v>
      </c>
      <c r="D30" s="15">
        <v>0.99925494161352724</v>
      </c>
      <c r="E30" s="14">
        <f t="shared" si="0"/>
        <v>988504.80450733216</v>
      </c>
      <c r="F30" s="14">
        <f t="shared" si="1"/>
        <v>736.49379466681251</v>
      </c>
      <c r="G30" s="22"/>
      <c r="H30" s="22"/>
      <c r="I30" s="22"/>
      <c r="J30" s="22"/>
      <c r="K30" s="22"/>
    </row>
    <row r="31" spans="1:11">
      <c r="A31" s="22"/>
      <c r="B31" s="16">
        <v>21</v>
      </c>
      <c r="C31" s="15">
        <v>7.6028641111689573E-4</v>
      </c>
      <c r="D31" s="15">
        <v>0.99923971358888308</v>
      </c>
      <c r="E31" s="14">
        <f t="shared" si="0"/>
        <v>987768.31071266532</v>
      </c>
      <c r="F31" s="14">
        <f t="shared" si="1"/>
        <v>750.98682396673109</v>
      </c>
      <c r="G31" s="22"/>
      <c r="H31" s="22"/>
      <c r="I31" s="22"/>
      <c r="J31" s="22"/>
      <c r="K31" s="22"/>
    </row>
    <row r="32" spans="1:11">
      <c r="A32" s="22"/>
      <c r="B32" s="16">
        <v>22</v>
      </c>
      <c r="C32" s="15">
        <v>8.0156531477761886E-4</v>
      </c>
      <c r="D32" s="15">
        <v>0.9991984346852224</v>
      </c>
      <c r="E32" s="14">
        <f t="shared" si="0"/>
        <v>987017.32388869859</v>
      </c>
      <c r="F32" s="14">
        <f t="shared" si="1"/>
        <v>791.15885191380767</v>
      </c>
      <c r="G32" s="22"/>
      <c r="H32" s="22"/>
      <c r="I32" s="22"/>
      <c r="J32" s="22"/>
      <c r="K32" s="22"/>
    </row>
    <row r="33" spans="1:11">
      <c r="A33" s="22"/>
      <c r="B33" s="16">
        <v>23</v>
      </c>
      <c r="C33" s="15">
        <v>8.3122952779245574E-4</v>
      </c>
      <c r="D33" s="15">
        <v>0.99916877047220753</v>
      </c>
      <c r="E33" s="14">
        <f t="shared" si="0"/>
        <v>986226.16503678483</v>
      </c>
      <c r="F33" s="14">
        <f t="shared" si="1"/>
        <v>819.78030946009119</v>
      </c>
      <c r="G33" s="22"/>
      <c r="H33" s="22"/>
      <c r="I33" s="22"/>
      <c r="J33" s="22"/>
      <c r="K33" s="22"/>
    </row>
    <row r="34" spans="1:11">
      <c r="A34" s="22"/>
      <c r="B34" s="16">
        <v>24</v>
      </c>
      <c r="C34" s="15">
        <v>8.4976785291653663E-4</v>
      </c>
      <c r="D34" s="15">
        <v>0.99915023214708343</v>
      </c>
      <c r="E34" s="14">
        <f t="shared" si="0"/>
        <v>985406.38472732471</v>
      </c>
      <c r="F34" s="14">
        <f t="shared" si="1"/>
        <v>837.36666779998541</v>
      </c>
      <c r="G34" s="22"/>
      <c r="H34" s="22"/>
      <c r="I34" s="22"/>
      <c r="J34" s="22"/>
      <c r="K34" s="22"/>
    </row>
    <row r="35" spans="1:11">
      <c r="A35" s="22"/>
      <c r="B35" s="16">
        <v>25</v>
      </c>
      <c r="C35" s="15">
        <v>8.2861781355732592E-4</v>
      </c>
      <c r="D35" s="15">
        <v>0.99917138218644264</v>
      </c>
      <c r="E35" s="14">
        <f t="shared" si="0"/>
        <v>984569.01805952471</v>
      </c>
      <c r="F35" s="14">
        <f t="shared" si="1"/>
        <v>815.8314270407667</v>
      </c>
      <c r="G35" s="22"/>
      <c r="H35" s="22"/>
      <c r="I35" s="22"/>
      <c r="J35" s="22"/>
      <c r="K35" s="22"/>
    </row>
    <row r="36" spans="1:11">
      <c r="A36" s="22"/>
      <c r="B36" s="16">
        <v>26</v>
      </c>
      <c r="C36" s="15">
        <v>8.3232785700274004E-4</v>
      </c>
      <c r="D36" s="15">
        <v>0.99916767214299729</v>
      </c>
      <c r="E36" s="14">
        <f t="shared" si="0"/>
        <v>983753.18663248396</v>
      </c>
      <c r="F36" s="14">
        <f t="shared" si="1"/>
        <v>818.80518164943192</v>
      </c>
      <c r="G36" s="22"/>
      <c r="H36" s="22"/>
      <c r="I36" s="22"/>
      <c r="J36" s="22"/>
      <c r="K36" s="22"/>
    </row>
    <row r="37" spans="1:11">
      <c r="A37" s="22"/>
      <c r="B37" s="16">
        <v>27</v>
      </c>
      <c r="C37" s="15">
        <v>8.501768378644328E-4</v>
      </c>
      <c r="D37" s="15">
        <v>0.99914982316213552</v>
      </c>
      <c r="E37" s="14">
        <f t="shared" si="0"/>
        <v>982934.38145083457</v>
      </c>
      <c r="F37" s="14">
        <f t="shared" si="1"/>
        <v>835.66804425010275</v>
      </c>
      <c r="G37" s="22"/>
      <c r="H37" s="22"/>
      <c r="I37" s="22"/>
      <c r="J37" s="22"/>
      <c r="K37" s="22"/>
    </row>
    <row r="38" spans="1:11">
      <c r="A38" s="22"/>
      <c r="B38" s="16">
        <v>28</v>
      </c>
      <c r="C38" s="15">
        <v>8.6730985623214879E-4</v>
      </c>
      <c r="D38" s="15">
        <v>0.99913269014376782</v>
      </c>
      <c r="E38" s="14">
        <f t="shared" si="0"/>
        <v>982098.71340658446</v>
      </c>
      <c r="F38" s="14">
        <f t="shared" si="1"/>
        <v>851.78389393044301</v>
      </c>
      <c r="G38" s="22"/>
      <c r="H38" s="22"/>
      <c r="I38" s="22"/>
      <c r="J38" s="22"/>
      <c r="K38" s="22"/>
    </row>
    <row r="39" spans="1:11">
      <c r="A39" s="22"/>
      <c r="B39" s="16">
        <v>29</v>
      </c>
      <c r="C39" s="15">
        <v>8.6573590049429986E-4</v>
      </c>
      <c r="D39" s="15">
        <v>0.99913426409950568</v>
      </c>
      <c r="E39" s="14">
        <f t="shared" si="0"/>
        <v>981246.92951265397</v>
      </c>
      <c r="F39" s="14">
        <f t="shared" si="1"/>
        <v>849.50069412890423</v>
      </c>
      <c r="G39" s="22"/>
      <c r="H39" s="22"/>
      <c r="I39" s="22"/>
      <c r="J39" s="22"/>
      <c r="K39" s="22"/>
    </row>
    <row r="40" spans="1:11">
      <c r="A40" s="22"/>
      <c r="B40" s="16">
        <v>30</v>
      </c>
      <c r="C40" s="15">
        <v>8.3116422706604675E-4</v>
      </c>
      <c r="D40" s="15">
        <v>0.99916883577293392</v>
      </c>
      <c r="E40" s="14">
        <f t="shared" si="0"/>
        <v>980397.42881852505</v>
      </c>
      <c r="F40" s="14">
        <f t="shared" si="1"/>
        <v>814.87127114148893</v>
      </c>
      <c r="G40" s="22"/>
      <c r="H40" s="22"/>
      <c r="I40" s="22"/>
      <c r="J40" s="22"/>
      <c r="K40" s="22"/>
    </row>
    <row r="41" spans="1:11">
      <c r="A41" s="22"/>
      <c r="B41" s="16">
        <v>31</v>
      </c>
      <c r="C41" s="15">
        <v>7.9419374650474865E-4</v>
      </c>
      <c r="D41" s="15">
        <v>0.9992058062534952</v>
      </c>
      <c r="E41" s="14">
        <f t="shared" si="0"/>
        <v>979582.55754738359</v>
      </c>
      <c r="F41" s="14">
        <f t="shared" si="1"/>
        <v>777.97834138926009</v>
      </c>
      <c r="G41" s="22"/>
      <c r="H41" s="22"/>
      <c r="I41" s="22"/>
      <c r="J41" s="22"/>
      <c r="K41" s="22"/>
    </row>
    <row r="42" spans="1:11">
      <c r="A42" s="22"/>
      <c r="B42" s="16">
        <v>32</v>
      </c>
      <c r="C42" s="15">
        <v>7.9831044583046021E-4</v>
      </c>
      <c r="D42" s="15">
        <v>0.99920168955416955</v>
      </c>
      <c r="E42" s="14">
        <f t="shared" si="0"/>
        <v>978804.57920599438</v>
      </c>
      <c r="F42" s="14">
        <f t="shared" si="1"/>
        <v>781.38992000683334</v>
      </c>
      <c r="G42" s="22"/>
      <c r="H42" s="22"/>
      <c r="I42" s="22"/>
      <c r="J42" s="22"/>
      <c r="K42" s="22"/>
    </row>
    <row r="43" spans="1:11">
      <c r="A43" s="22"/>
      <c r="B43" s="16">
        <v>33</v>
      </c>
      <c r="C43" s="15">
        <v>7.8830955701299926E-4</v>
      </c>
      <c r="D43" s="15">
        <v>0.99921169044298697</v>
      </c>
      <c r="E43" s="14">
        <f t="shared" si="0"/>
        <v>978023.18928598752</v>
      </c>
      <c r="F43" s="14">
        <f t="shared" si="1"/>
        <v>770.98502709447757</v>
      </c>
      <c r="G43" s="22"/>
      <c r="H43" s="22"/>
      <c r="I43" s="22"/>
      <c r="J43" s="22"/>
      <c r="K43" s="22"/>
    </row>
    <row r="44" spans="1:11">
      <c r="A44" s="22"/>
      <c r="B44" s="16">
        <v>34</v>
      </c>
      <c r="C44" s="15">
        <v>7.703853227986454E-4</v>
      </c>
      <c r="D44" s="15">
        <v>0.99922961467720139</v>
      </c>
      <c r="E44" s="14">
        <f t="shared" si="0"/>
        <v>977252.20425889303</v>
      </c>
      <c r="F44" s="14">
        <f t="shared" si="1"/>
        <v>752.86075483367506</v>
      </c>
      <c r="G44" s="22"/>
      <c r="H44" s="22"/>
      <c r="I44" s="22"/>
      <c r="J44" s="22"/>
      <c r="K44" s="22"/>
    </row>
    <row r="45" spans="1:11">
      <c r="A45" s="22"/>
      <c r="B45" s="16">
        <v>35</v>
      </c>
      <c r="C45" s="15">
        <v>7.4489564871608994E-4</v>
      </c>
      <c r="D45" s="15">
        <v>0.99925510435128395</v>
      </c>
      <c r="E45" s="14">
        <f t="shared" si="0"/>
        <v>976499.34350405936</v>
      </c>
      <c r="F45" s="14">
        <f t="shared" si="1"/>
        <v>727.39011195029229</v>
      </c>
      <c r="G45" s="22"/>
      <c r="H45" s="22"/>
      <c r="I45" s="22"/>
      <c r="J45" s="22"/>
      <c r="K45" s="22"/>
    </row>
    <row r="46" spans="1:11">
      <c r="A46" s="22"/>
      <c r="B46" s="16">
        <v>36</v>
      </c>
      <c r="C46" s="15">
        <v>7.1579072994422085E-4</v>
      </c>
      <c r="D46" s="15">
        <v>0.99928420927005579</v>
      </c>
      <c r="E46" s="14">
        <f t="shared" si="0"/>
        <v>975771.95339210902</v>
      </c>
      <c r="F46" s="14">
        <f t="shared" si="1"/>
        <v>698.44851877763597</v>
      </c>
      <c r="G46" s="22"/>
      <c r="H46" s="22"/>
      <c r="I46" s="22"/>
      <c r="J46" s="22"/>
      <c r="K46" s="22"/>
    </row>
    <row r="47" spans="1:11">
      <c r="A47" s="22"/>
      <c r="B47" s="16">
        <v>37</v>
      </c>
      <c r="C47" s="15">
        <v>6.9921844068157547E-4</v>
      </c>
      <c r="D47" s="15">
        <v>0.99930078155931845</v>
      </c>
      <c r="E47" s="14">
        <f t="shared" si="0"/>
        <v>975073.5048733314</v>
      </c>
      <c r="F47" s="14">
        <f t="shared" si="1"/>
        <v>681.78937562744932</v>
      </c>
      <c r="G47" s="22"/>
      <c r="H47" s="22"/>
      <c r="I47" s="22"/>
      <c r="J47" s="22"/>
      <c r="K47" s="22"/>
    </row>
    <row r="48" spans="1:11">
      <c r="A48" s="22"/>
      <c r="B48" s="16">
        <v>38</v>
      </c>
      <c r="C48" s="15">
        <v>7.4067302876734079E-4</v>
      </c>
      <c r="D48" s="15">
        <v>0.99925932697123265</v>
      </c>
      <c r="E48" s="14">
        <f t="shared" si="0"/>
        <v>974391.71549770399</v>
      </c>
      <c r="F48" s="14">
        <f t="shared" si="1"/>
        <v>721.70566312348944</v>
      </c>
      <c r="G48" s="22"/>
      <c r="H48" s="22"/>
      <c r="I48" s="22"/>
      <c r="J48" s="22"/>
      <c r="K48" s="22"/>
    </row>
    <row r="49" spans="1:11">
      <c r="A49" s="22"/>
      <c r="B49" s="16">
        <v>39</v>
      </c>
      <c r="C49" s="15">
        <v>7.9853451532424253E-4</v>
      </c>
      <c r="D49" s="15">
        <v>0.99920146548467581</v>
      </c>
      <c r="E49" s="14">
        <f t="shared" si="0"/>
        <v>973670.00983458047</v>
      </c>
      <c r="F49" s="14">
        <f t="shared" si="1"/>
        <v>777.50910938900722</v>
      </c>
      <c r="G49" s="22"/>
      <c r="H49" s="22"/>
      <c r="I49" s="22"/>
      <c r="J49" s="22"/>
      <c r="K49" s="22"/>
    </row>
    <row r="50" spans="1:11">
      <c r="A50" s="22"/>
      <c r="B50" s="16">
        <v>40</v>
      </c>
      <c r="C50" s="15">
        <v>8.3471554752051664E-4</v>
      </c>
      <c r="D50" s="15">
        <v>0.99916528445247943</v>
      </c>
      <c r="E50" s="14">
        <f t="shared" si="0"/>
        <v>972892.50072519144</v>
      </c>
      <c r="F50" s="14">
        <f t="shared" si="1"/>
        <v>812.08849642143275</v>
      </c>
      <c r="G50" s="22"/>
      <c r="H50" s="22"/>
      <c r="I50" s="22"/>
      <c r="J50" s="22"/>
      <c r="K50" s="22"/>
    </row>
    <row r="51" spans="1:11">
      <c r="A51" s="22"/>
      <c r="B51" s="16">
        <v>41</v>
      </c>
      <c r="C51" s="15">
        <v>8.8412700269592005E-4</v>
      </c>
      <c r="D51" s="15">
        <v>0.99911587299730409</v>
      </c>
      <c r="E51" s="14">
        <f t="shared" si="0"/>
        <v>972080.41222876997</v>
      </c>
      <c r="F51" s="14">
        <f t="shared" si="1"/>
        <v>859.44254124323675</v>
      </c>
      <c r="G51" s="22"/>
      <c r="H51" s="22"/>
      <c r="I51" s="22"/>
      <c r="J51" s="22"/>
      <c r="K51" s="22"/>
    </row>
    <row r="52" spans="1:11">
      <c r="A52" s="22"/>
      <c r="B52" s="16">
        <v>42</v>
      </c>
      <c r="C52" s="15">
        <v>9.3188215808765699E-4</v>
      </c>
      <c r="D52" s="15">
        <v>0.9990681178419123</v>
      </c>
      <c r="E52" s="14">
        <f t="shared" si="0"/>
        <v>971220.9696875267</v>
      </c>
      <c r="F52" s="14">
        <f t="shared" si="1"/>
        <v>905.06349321239929</v>
      </c>
      <c r="G52" s="22"/>
      <c r="H52" s="22"/>
      <c r="I52" s="22"/>
      <c r="J52" s="22"/>
      <c r="K52" s="22"/>
    </row>
    <row r="53" spans="1:11">
      <c r="A53" s="22"/>
      <c r="B53" s="16">
        <v>43</v>
      </c>
      <c r="C53" s="15">
        <v>9.6450335723182075E-4</v>
      </c>
      <c r="D53" s="15">
        <v>0.99903549664276814</v>
      </c>
      <c r="E53" s="14">
        <f t="shared" si="0"/>
        <v>970315.90619431424</v>
      </c>
      <c r="F53" s="14">
        <f t="shared" si="1"/>
        <v>935.87294909985258</v>
      </c>
      <c r="G53" s="22"/>
      <c r="H53" s="22"/>
      <c r="I53" s="22"/>
      <c r="J53" s="22"/>
      <c r="K53" s="22"/>
    </row>
    <row r="54" spans="1:11">
      <c r="A54" s="22"/>
      <c r="B54" s="16">
        <v>44</v>
      </c>
      <c r="C54" s="15">
        <v>1.0172503399231735E-3</v>
      </c>
      <c r="D54" s="15">
        <v>0.99898274966007683</v>
      </c>
      <c r="E54" s="14">
        <f t="shared" si="0"/>
        <v>969380.03324521438</v>
      </c>
      <c r="F54" s="14">
        <f t="shared" si="1"/>
        <v>986.10216833343156</v>
      </c>
      <c r="G54" s="22"/>
      <c r="H54" s="22"/>
      <c r="I54" s="22"/>
      <c r="J54" s="22"/>
      <c r="K54" s="22"/>
    </row>
    <row r="55" spans="1:11">
      <c r="A55" s="22"/>
      <c r="B55" s="16">
        <v>45</v>
      </c>
      <c r="C55" s="15">
        <v>1.0839528119922209E-3</v>
      </c>
      <c r="D55" s="15">
        <v>0.99891604718800775</v>
      </c>
      <c r="E55" s="14">
        <f t="shared" si="0"/>
        <v>968393.93107688089</v>
      </c>
      <c r="F55" s="14">
        <f t="shared" si="1"/>
        <v>1049.693324706986</v>
      </c>
      <c r="G55" s="22"/>
      <c r="H55" s="22"/>
      <c r="I55" s="22"/>
      <c r="J55" s="22"/>
      <c r="K55" s="22"/>
    </row>
    <row r="56" spans="1:11">
      <c r="A56" s="22"/>
      <c r="B56" s="16">
        <v>46</v>
      </c>
      <c r="C56" s="15">
        <v>1.1732525292961573E-3</v>
      </c>
      <c r="D56" s="15">
        <v>0.99882674747070388</v>
      </c>
      <c r="E56" s="14">
        <f t="shared" si="0"/>
        <v>967344.23775217391</v>
      </c>
      <c r="F56" s="14">
        <f t="shared" si="1"/>
        <v>1134.9390736428013</v>
      </c>
      <c r="G56" s="22"/>
      <c r="H56" s="22"/>
      <c r="I56" s="22"/>
      <c r="J56" s="22"/>
      <c r="K56" s="22"/>
    </row>
    <row r="57" spans="1:11">
      <c r="A57" s="22"/>
      <c r="B57" s="16">
        <v>47</v>
      </c>
      <c r="C57" s="15">
        <v>1.2138289067283971E-3</v>
      </c>
      <c r="D57" s="15">
        <v>0.99878617109327161</v>
      </c>
      <c r="E57" s="14">
        <f t="shared" si="0"/>
        <v>966209.29867853108</v>
      </c>
      <c r="F57" s="14">
        <f t="shared" si="1"/>
        <v>1172.8127766857726</v>
      </c>
      <c r="G57" s="22"/>
      <c r="H57" s="22"/>
      <c r="I57" s="22"/>
      <c r="J57" s="22"/>
      <c r="K57" s="22"/>
    </row>
    <row r="58" spans="1:11">
      <c r="A58" s="22"/>
      <c r="B58" s="16">
        <v>48</v>
      </c>
      <c r="C58" s="15">
        <v>1.2534385965960728E-3</v>
      </c>
      <c r="D58" s="15">
        <v>0.9987465614034039</v>
      </c>
      <c r="E58" s="14">
        <f t="shared" si="0"/>
        <v>965036.48590184527</v>
      </c>
      <c r="F58" s="14">
        <f t="shared" si="1"/>
        <v>1209.6139785528148</v>
      </c>
      <c r="G58" s="22"/>
      <c r="H58" s="22"/>
      <c r="I58" s="22"/>
      <c r="J58" s="22"/>
      <c r="K58" s="22"/>
    </row>
    <row r="59" spans="1:11">
      <c r="A59" s="22"/>
      <c r="B59" s="16">
        <v>49</v>
      </c>
      <c r="C59" s="15">
        <v>1.4398323853823968E-3</v>
      </c>
      <c r="D59" s="15">
        <v>0.99856016761461763</v>
      </c>
      <c r="E59" s="14">
        <f t="shared" si="0"/>
        <v>963826.8719232924</v>
      </c>
      <c r="F59" s="14">
        <f t="shared" si="1"/>
        <v>1387.7491440969679</v>
      </c>
      <c r="G59" s="22"/>
      <c r="H59" s="22"/>
      <c r="I59" s="22"/>
      <c r="J59" s="22"/>
      <c r="K59" s="22"/>
    </row>
    <row r="60" spans="1:11">
      <c r="A60" s="22"/>
      <c r="B60" s="16">
        <v>50</v>
      </c>
      <c r="C60" s="15">
        <v>1.5970341518046671E-3</v>
      </c>
      <c r="D60" s="15">
        <v>0.99840296584819532</v>
      </c>
      <c r="E60" s="14">
        <f t="shared" si="0"/>
        <v>962439.12277919543</v>
      </c>
      <c r="F60" s="14">
        <f t="shared" si="1"/>
        <v>1537.0481481113002</v>
      </c>
      <c r="G60" s="22"/>
      <c r="H60" s="22"/>
      <c r="I60" s="22"/>
      <c r="J60" s="22"/>
      <c r="K60" s="22"/>
    </row>
    <row r="61" spans="1:11">
      <c r="A61" s="22"/>
      <c r="B61" s="16">
        <v>51</v>
      </c>
      <c r="C61" s="15">
        <v>1.7612235508147861E-3</v>
      </c>
      <c r="D61" s="15">
        <v>0.99823877644918524</v>
      </c>
      <c r="E61" s="14">
        <f t="shared" si="0"/>
        <v>960902.07463108411</v>
      </c>
      <c r="F61" s="14">
        <f t="shared" si="1"/>
        <v>1692.3633638670526</v>
      </c>
      <c r="G61" s="22"/>
      <c r="H61" s="22"/>
      <c r="I61" s="22"/>
      <c r="J61" s="22"/>
      <c r="K61" s="22"/>
    </row>
    <row r="62" spans="1:11">
      <c r="A62" s="22"/>
      <c r="B62" s="16">
        <v>52</v>
      </c>
      <c r="C62" s="15">
        <v>1.8899385775167999E-3</v>
      </c>
      <c r="D62" s="15">
        <v>0.99811006142248315</v>
      </c>
      <c r="E62" s="14">
        <f t="shared" si="0"/>
        <v>959209.71126721706</v>
      </c>
      <c r="F62" s="14">
        <f t="shared" si="1"/>
        <v>1812.8474372526646</v>
      </c>
      <c r="G62" s="22"/>
      <c r="H62" s="22"/>
      <c r="I62" s="22"/>
      <c r="J62" s="22"/>
      <c r="K62" s="22"/>
    </row>
    <row r="63" spans="1:11">
      <c r="A63" s="22"/>
      <c r="B63" s="16">
        <v>53</v>
      </c>
      <c r="C63" s="15">
        <v>2.2210388525403979E-3</v>
      </c>
      <c r="D63" s="15">
        <v>0.99777896114745956</v>
      </c>
      <c r="E63" s="14">
        <f t="shared" si="0"/>
        <v>957396.86382996442</v>
      </c>
      <c r="F63" s="14">
        <f t="shared" si="1"/>
        <v>2126.4156318666796</v>
      </c>
      <c r="G63" s="22"/>
      <c r="H63" s="22"/>
      <c r="I63" s="22"/>
      <c r="J63" s="22"/>
      <c r="K63" s="22"/>
    </row>
    <row r="64" spans="1:11">
      <c r="A64" s="22"/>
      <c r="B64" s="16">
        <v>54</v>
      </c>
      <c r="C64" s="15">
        <v>2.3199928232157359E-3</v>
      </c>
      <c r="D64" s="15">
        <v>0.99768000717678429</v>
      </c>
      <c r="E64" s="14">
        <f t="shared" si="0"/>
        <v>955270.44819809776</v>
      </c>
      <c r="F64" s="14">
        <f t="shared" si="1"/>
        <v>2216.2205840496663</v>
      </c>
      <c r="G64" s="22"/>
      <c r="H64" s="22"/>
      <c r="I64" s="22"/>
      <c r="J64" s="22"/>
      <c r="K64" s="22"/>
    </row>
    <row r="65" spans="1:11">
      <c r="A65" s="22"/>
      <c r="B65" s="16">
        <v>55</v>
      </c>
      <c r="C65" s="15">
        <v>2.4588598241535153E-3</v>
      </c>
      <c r="D65" s="15">
        <v>0.9975411401758465</v>
      </c>
      <c r="E65" s="14">
        <f t="shared" si="0"/>
        <v>953054.22761404805</v>
      </c>
      <c r="F65" s="14">
        <f t="shared" si="1"/>
        <v>2343.4267505198427</v>
      </c>
      <c r="G65" s="22"/>
      <c r="H65" s="22"/>
      <c r="I65" s="22"/>
      <c r="J65" s="22"/>
      <c r="K65" s="22"/>
    </row>
    <row r="66" spans="1:11">
      <c r="A66" s="22"/>
      <c r="B66" s="16">
        <v>56</v>
      </c>
      <c r="C66" s="15">
        <v>2.5855150808877345E-3</v>
      </c>
      <c r="D66" s="15">
        <v>0.99741448491911222</v>
      </c>
      <c r="E66" s="14">
        <f t="shared" si="0"/>
        <v>950710.80086352816</v>
      </c>
      <c r="F66" s="14">
        <f t="shared" si="1"/>
        <v>2458.077113195508</v>
      </c>
      <c r="G66" s="22"/>
      <c r="H66" s="22"/>
      <c r="I66" s="22"/>
      <c r="J66" s="22"/>
      <c r="K66" s="22"/>
    </row>
    <row r="67" spans="1:11">
      <c r="A67" s="22"/>
      <c r="B67" s="16">
        <v>57</v>
      </c>
      <c r="C67" s="15">
        <v>2.7665775074312243E-3</v>
      </c>
      <c r="D67" s="15">
        <v>0.99723342249256874</v>
      </c>
      <c r="E67" s="14">
        <f t="shared" si="0"/>
        <v>948252.7237503326</v>
      </c>
      <c r="F67" s="14">
        <f t="shared" si="1"/>
        <v>2623.4146568880647</v>
      </c>
      <c r="G67" s="22"/>
      <c r="H67" s="22"/>
      <c r="I67" s="22"/>
      <c r="J67" s="22"/>
      <c r="K67" s="22"/>
    </row>
    <row r="68" spans="1:11">
      <c r="A68" s="22"/>
      <c r="B68" s="16">
        <v>58</v>
      </c>
      <c r="C68" s="15">
        <v>2.9654195854343485E-3</v>
      </c>
      <c r="D68" s="15">
        <v>0.99703458041456561</v>
      </c>
      <c r="E68" s="14">
        <f t="shared" si="0"/>
        <v>945629.30909344449</v>
      </c>
      <c r="F68" s="14">
        <f t="shared" si="1"/>
        <v>2804.1876737464518</v>
      </c>
      <c r="G68" s="22"/>
      <c r="H68" s="22"/>
      <c r="I68" s="22"/>
      <c r="J68" s="22"/>
      <c r="K68" s="22"/>
    </row>
    <row r="69" spans="1:11">
      <c r="A69" s="22"/>
      <c r="B69" s="16">
        <v>59</v>
      </c>
      <c r="C69" s="15">
        <v>3.1037167285184364E-3</v>
      </c>
      <c r="D69" s="15">
        <v>0.99689628327148161</v>
      </c>
      <c r="E69" s="14">
        <f t="shared" si="0"/>
        <v>942825.121419698</v>
      </c>
      <c r="F69" s="14">
        <f t="shared" si="1"/>
        <v>2926.2621014177425</v>
      </c>
      <c r="G69" s="22"/>
      <c r="H69" s="22"/>
      <c r="I69" s="22"/>
      <c r="J69" s="22"/>
      <c r="K69" s="22"/>
    </row>
    <row r="70" spans="1:11">
      <c r="A70" s="22"/>
      <c r="B70" s="16">
        <v>60</v>
      </c>
      <c r="C70" s="15">
        <v>3.4437817348155928E-3</v>
      </c>
      <c r="D70" s="15">
        <v>0.99655621826518437</v>
      </c>
      <c r="E70" s="14">
        <f t="shared" si="0"/>
        <v>939898.85931828024</v>
      </c>
      <c r="F70" s="14">
        <f t="shared" si="1"/>
        <v>3236.8065242943039</v>
      </c>
      <c r="G70" s="22"/>
      <c r="H70" s="22"/>
      <c r="I70" s="22"/>
      <c r="J70" s="22"/>
      <c r="K70" s="22"/>
    </row>
    <row r="71" spans="1:11">
      <c r="A71" s="22"/>
      <c r="B71" s="16">
        <v>61</v>
      </c>
      <c r="C71" s="15">
        <v>3.7202055579373537E-3</v>
      </c>
      <c r="D71" s="15">
        <v>0.99627979444206261</v>
      </c>
      <c r="E71" s="14">
        <f t="shared" si="0"/>
        <v>936662.05279398593</v>
      </c>
      <c r="F71" s="14">
        <f t="shared" si="1"/>
        <v>3484.5753747131976</v>
      </c>
      <c r="G71" s="22"/>
      <c r="H71" s="22"/>
      <c r="I71" s="22"/>
      <c r="J71" s="22"/>
      <c r="K71" s="22"/>
    </row>
    <row r="72" spans="1:11">
      <c r="A72" s="22"/>
      <c r="B72" s="16">
        <v>62</v>
      </c>
      <c r="C72" s="15">
        <v>3.9579556375747326E-3</v>
      </c>
      <c r="D72" s="15">
        <v>0.99604204436242527</v>
      </c>
      <c r="E72" s="14">
        <f t="shared" si="0"/>
        <v>933177.47741927276</v>
      </c>
      <c r="F72" s="14">
        <f t="shared" si="1"/>
        <v>3693.4750576093784</v>
      </c>
      <c r="G72" s="22"/>
      <c r="H72" s="22"/>
      <c r="I72" s="22"/>
      <c r="J72" s="22"/>
      <c r="K72" s="22"/>
    </row>
    <row r="73" spans="1:11">
      <c r="A73" s="22"/>
      <c r="B73" s="16">
        <v>63</v>
      </c>
      <c r="C73" s="15">
        <v>4.2118328399710515E-3</v>
      </c>
      <c r="D73" s="15">
        <v>0.99578816716002894</v>
      </c>
      <c r="E73" s="14">
        <f t="shared" si="0"/>
        <v>929484.00236166338</v>
      </c>
      <c r="F73" s="14">
        <f t="shared" si="1"/>
        <v>3914.8312453745843</v>
      </c>
      <c r="G73" s="22"/>
      <c r="H73" s="22"/>
      <c r="I73" s="22"/>
      <c r="J73" s="22"/>
      <c r="K73" s="22"/>
    </row>
    <row r="74" spans="1:11">
      <c r="A74" s="22"/>
      <c r="B74" s="16">
        <v>64</v>
      </c>
      <c r="C74" s="15">
        <v>4.6068091222988151E-3</v>
      </c>
      <c r="D74" s="15">
        <v>0.99539319087770117</v>
      </c>
      <c r="E74" s="14">
        <f t="shared" si="0"/>
        <v>925569.17111628875</v>
      </c>
      <c r="F74" s="14">
        <f t="shared" si="1"/>
        <v>4263.920500817072</v>
      </c>
      <c r="G74" s="22"/>
      <c r="H74" s="22"/>
      <c r="I74" s="22"/>
      <c r="J74" s="22"/>
      <c r="K74" s="22"/>
    </row>
    <row r="75" spans="1:11">
      <c r="A75" s="22"/>
      <c r="B75" s="16">
        <v>65</v>
      </c>
      <c r="C75" s="15">
        <v>5.0644948088498423E-3</v>
      </c>
      <c r="D75" s="15">
        <v>0.99493550519115015</v>
      </c>
      <c r="E75" s="14">
        <f t="shared" si="0"/>
        <v>921305.25061547162</v>
      </c>
      <c r="F75" s="14">
        <f t="shared" si="1"/>
        <v>4665.9456591081589</v>
      </c>
      <c r="G75" s="22"/>
      <c r="H75" s="22"/>
      <c r="I75" s="22"/>
      <c r="J75" s="22"/>
      <c r="K75" s="22"/>
    </row>
    <row r="76" spans="1:11">
      <c r="A76" s="22"/>
      <c r="B76" s="16">
        <v>66</v>
      </c>
      <c r="C76" s="15">
        <v>5.3861542270119012E-3</v>
      </c>
      <c r="D76" s="15">
        <v>0.99461384577298806</v>
      </c>
      <c r="E76" s="14">
        <f t="shared" ref="E76:E125" si="2">+E75-F75</f>
        <v>916639.30495636351</v>
      </c>
      <c r="F76" s="14">
        <f t="shared" ref="F76:F125" si="3">+E76*C76</f>
        <v>4937.1606670359688</v>
      </c>
      <c r="G76" s="22"/>
      <c r="H76" s="22"/>
      <c r="I76" s="22"/>
      <c r="J76" s="22"/>
      <c r="K76" s="22"/>
    </row>
    <row r="77" spans="1:11">
      <c r="A77" s="22"/>
      <c r="B77" s="16">
        <v>67</v>
      </c>
      <c r="C77" s="15">
        <v>5.8238499390151433E-3</v>
      </c>
      <c r="D77" s="15">
        <v>0.99417615006098481</v>
      </c>
      <c r="E77" s="14">
        <f t="shared" si="2"/>
        <v>911702.14428932755</v>
      </c>
      <c r="F77" s="14">
        <f t="shared" si="3"/>
        <v>5309.6164774193758</v>
      </c>
      <c r="G77" s="22"/>
      <c r="H77" s="22"/>
      <c r="I77" s="22"/>
      <c r="J77" s="22"/>
      <c r="K77" s="22"/>
    </row>
    <row r="78" spans="1:11">
      <c r="A78" s="22"/>
      <c r="B78" s="16">
        <v>68</v>
      </c>
      <c r="C78" s="15">
        <v>6.3186616308298863E-3</v>
      </c>
      <c r="D78" s="15">
        <v>0.99368133836917016</v>
      </c>
      <c r="E78" s="14">
        <f t="shared" si="2"/>
        <v>906392.52781190816</v>
      </c>
      <c r="F78" s="14">
        <f t="shared" si="3"/>
        <v>5727.187687956015</v>
      </c>
      <c r="G78" s="22"/>
      <c r="H78" s="22"/>
      <c r="I78" s="22"/>
      <c r="J78" s="22"/>
      <c r="K78" s="22"/>
    </row>
    <row r="79" spans="1:11">
      <c r="A79" s="22"/>
      <c r="B79" s="16">
        <v>69</v>
      </c>
      <c r="C79" s="15">
        <v>6.7751201455875211E-3</v>
      </c>
      <c r="D79" s="15">
        <v>0.99322487985441243</v>
      </c>
      <c r="E79" s="14">
        <f t="shared" si="2"/>
        <v>900665.34012395213</v>
      </c>
      <c r="F79" s="14">
        <f t="shared" si="3"/>
        <v>6102.1158903062251</v>
      </c>
      <c r="G79" s="22"/>
      <c r="H79" s="22"/>
      <c r="I79" s="22"/>
      <c r="J79" s="22"/>
      <c r="K79" s="22"/>
    </row>
    <row r="80" spans="1:11">
      <c r="A80" s="22"/>
      <c r="B80" s="16">
        <v>70</v>
      </c>
      <c r="C80" s="15">
        <v>7.2039657147777592E-3</v>
      </c>
      <c r="D80" s="15">
        <v>0.99279603428522223</v>
      </c>
      <c r="E80" s="14">
        <f t="shared" si="2"/>
        <v>894563.22423364595</v>
      </c>
      <c r="F80" s="14">
        <f t="shared" si="3"/>
        <v>6444.4027970802344</v>
      </c>
      <c r="G80" s="22"/>
      <c r="H80" s="22"/>
      <c r="I80" s="22"/>
      <c r="J80" s="22"/>
      <c r="K80" s="22"/>
    </row>
    <row r="81" spans="1:11">
      <c r="A81" s="22"/>
      <c r="B81" s="16">
        <v>71</v>
      </c>
      <c r="C81" s="15">
        <v>7.7847861379703124E-3</v>
      </c>
      <c r="D81" s="15">
        <v>0.99221521386202971</v>
      </c>
      <c r="E81" s="14">
        <f t="shared" si="2"/>
        <v>888118.82143656572</v>
      </c>
      <c r="F81" s="14">
        <f t="shared" si="3"/>
        <v>6913.8150899899083</v>
      </c>
      <c r="G81" s="22"/>
      <c r="H81" s="22"/>
      <c r="I81" s="22"/>
      <c r="J81" s="22"/>
      <c r="K81" s="22"/>
    </row>
    <row r="82" spans="1:11">
      <c r="A82" s="22"/>
      <c r="B82" s="16">
        <v>72</v>
      </c>
      <c r="C82" s="15">
        <v>8.5573777167641911E-3</v>
      </c>
      <c r="D82" s="15">
        <v>0.99144262228323576</v>
      </c>
      <c r="E82" s="14">
        <f t="shared" si="2"/>
        <v>881205.0063465758</v>
      </c>
      <c r="F82" s="14">
        <f t="shared" si="3"/>
        <v>7540.8040852112354</v>
      </c>
      <c r="G82" s="22"/>
      <c r="H82" s="22"/>
      <c r="I82" s="22"/>
      <c r="J82" s="22"/>
      <c r="K82" s="22"/>
    </row>
    <row r="83" spans="1:11">
      <c r="A83" s="22"/>
      <c r="B83" s="16">
        <v>73</v>
      </c>
      <c r="C83" s="15">
        <v>9.3693583647182777E-3</v>
      </c>
      <c r="D83" s="15">
        <v>0.99063064163528169</v>
      </c>
      <c r="E83" s="14">
        <f t="shared" si="2"/>
        <v>873664.20226136455</v>
      </c>
      <c r="F83" s="14">
        <f t="shared" si="3"/>
        <v>8185.6730014124369</v>
      </c>
      <c r="G83" s="22"/>
      <c r="H83" s="22"/>
      <c r="I83" s="22"/>
      <c r="J83" s="22"/>
      <c r="K83" s="22"/>
    </row>
    <row r="84" spans="1:11">
      <c r="A84" s="22"/>
      <c r="B84" s="16">
        <v>74</v>
      </c>
      <c r="C84" s="15">
        <v>1.026393516709264E-2</v>
      </c>
      <c r="D84" s="15">
        <v>0.98973606483290733</v>
      </c>
      <c r="E84" s="14">
        <f t="shared" si="2"/>
        <v>865478.52925995213</v>
      </c>
      <c r="F84" s="14">
        <f t="shared" si="3"/>
        <v>8883.2155128348386</v>
      </c>
      <c r="G84" s="22"/>
      <c r="H84" s="22"/>
      <c r="I84" s="22"/>
      <c r="J84" s="22"/>
      <c r="K84" s="22"/>
    </row>
    <row r="85" spans="1:11">
      <c r="A85" s="22"/>
      <c r="B85" s="16">
        <v>75</v>
      </c>
      <c r="C85" s="15">
        <v>1.1190349852430925E-2</v>
      </c>
      <c r="D85" s="15">
        <v>0.98880965014756905</v>
      </c>
      <c r="E85" s="14">
        <f t="shared" si="2"/>
        <v>856595.3137471173</v>
      </c>
      <c r="F85" s="14">
        <f t="shared" si="3"/>
        <v>9585.6012427830756</v>
      </c>
      <c r="G85" s="22"/>
      <c r="H85" s="22"/>
      <c r="I85" s="22"/>
      <c r="J85" s="22"/>
      <c r="K85" s="22"/>
    </row>
    <row r="86" spans="1:11">
      <c r="A86" s="22"/>
      <c r="B86" s="16">
        <v>76</v>
      </c>
      <c r="C86" s="15">
        <v>1.2102064168603094E-2</v>
      </c>
      <c r="D86" s="15">
        <v>0.98789793583139696</v>
      </c>
      <c r="E86" s="14">
        <f t="shared" si="2"/>
        <v>847009.71250433417</v>
      </c>
      <c r="F86" s="14">
        <f t="shared" si="3"/>
        <v>10250.56589215751</v>
      </c>
      <c r="G86" s="22"/>
      <c r="H86" s="22"/>
      <c r="I86" s="22"/>
      <c r="J86" s="22"/>
      <c r="K86" s="22"/>
    </row>
    <row r="87" spans="1:11">
      <c r="A87" s="22"/>
      <c r="B87" s="16">
        <v>77</v>
      </c>
      <c r="C87" s="15">
        <v>1.306466459143471E-2</v>
      </c>
      <c r="D87" s="15">
        <v>0.98693533540856526</v>
      </c>
      <c r="E87" s="14">
        <f t="shared" si="2"/>
        <v>836759.14661217667</v>
      </c>
      <c r="F87" s="14">
        <f t="shared" si="3"/>
        <v>10931.977594303231</v>
      </c>
      <c r="G87" s="22"/>
      <c r="H87" s="22"/>
      <c r="I87" s="22"/>
      <c r="J87" s="22"/>
      <c r="K87" s="22"/>
    </row>
    <row r="88" spans="1:11">
      <c r="A88" s="22"/>
      <c r="B88" s="16">
        <v>78</v>
      </c>
      <c r="C88" s="15">
        <v>1.4132162936018841E-2</v>
      </c>
      <c r="D88" s="15">
        <v>0.98586783706398118</v>
      </c>
      <c r="E88" s="14">
        <f t="shared" si="2"/>
        <v>825827.16901787347</v>
      </c>
      <c r="F88" s="14">
        <f t="shared" si="3"/>
        <v>11670.724109551758</v>
      </c>
      <c r="G88" s="22"/>
      <c r="H88" s="22"/>
      <c r="I88" s="22"/>
      <c r="J88" s="22"/>
      <c r="K88" s="22"/>
    </row>
    <row r="89" spans="1:11">
      <c r="A89" s="22"/>
      <c r="B89" s="16">
        <v>79</v>
      </c>
      <c r="C89" s="15">
        <v>1.5378903548866315E-2</v>
      </c>
      <c r="D89" s="15">
        <v>0.98462109645113371</v>
      </c>
      <c r="E89" s="14">
        <f t="shared" si="2"/>
        <v>814156.44490832172</v>
      </c>
      <c r="F89" s="14">
        <f t="shared" si="3"/>
        <v>12520.833439932971</v>
      </c>
      <c r="G89" s="22"/>
      <c r="H89" s="22"/>
      <c r="I89" s="22"/>
      <c r="J89" s="22"/>
      <c r="K89" s="22"/>
    </row>
    <row r="90" spans="1:11">
      <c r="A90" s="22"/>
      <c r="B90" s="16">
        <v>80</v>
      </c>
      <c r="C90" s="15">
        <v>1.6616425301471536E-2</v>
      </c>
      <c r="D90" s="15">
        <v>0.98338357469852844</v>
      </c>
      <c r="E90" s="14">
        <f t="shared" si="2"/>
        <v>801635.6114683887</v>
      </c>
      <c r="F90" s="14">
        <f t="shared" si="3"/>
        <v>13320.318256963939</v>
      </c>
      <c r="G90" s="22"/>
      <c r="H90" s="22"/>
      <c r="I90" s="22"/>
      <c r="J90" s="22"/>
      <c r="K90" s="22"/>
    </row>
    <row r="91" spans="1:11">
      <c r="A91" s="22"/>
      <c r="B91" s="16">
        <v>81</v>
      </c>
      <c r="C91" s="15">
        <v>1.8118518597093659E-2</v>
      </c>
      <c r="D91" s="15">
        <v>0.98188148140290632</v>
      </c>
      <c r="E91" s="14">
        <f t="shared" si="2"/>
        <v>788315.29321142472</v>
      </c>
      <c r="F91" s="14">
        <f t="shared" si="3"/>
        <v>14283.10530042454</v>
      </c>
      <c r="G91" s="22"/>
      <c r="H91" s="22"/>
      <c r="I91" s="22"/>
      <c r="J91" s="22"/>
      <c r="K91" s="22"/>
    </row>
    <row r="92" spans="1:11">
      <c r="A92" s="22"/>
      <c r="B92" s="16">
        <v>82</v>
      </c>
      <c r="C92" s="15">
        <v>1.9662560542052378E-2</v>
      </c>
      <c r="D92" s="15">
        <v>0.9803374394579476</v>
      </c>
      <c r="E92" s="14">
        <f t="shared" si="2"/>
        <v>774032.18791100022</v>
      </c>
      <c r="F92" s="14">
        <f t="shared" si="3"/>
        <v>15219.454756297304</v>
      </c>
      <c r="G92" s="22"/>
      <c r="H92" s="22"/>
      <c r="I92" s="22"/>
      <c r="J92" s="22"/>
      <c r="K92" s="22"/>
    </row>
    <row r="93" spans="1:11">
      <c r="A93" s="22"/>
      <c r="B93" s="16">
        <v>83</v>
      </c>
      <c r="C93" s="15">
        <v>2.1016860442490109E-2</v>
      </c>
      <c r="D93" s="15">
        <v>0.97898313955750993</v>
      </c>
      <c r="E93" s="14">
        <f t="shared" si="2"/>
        <v>758812.73315470293</v>
      </c>
      <c r="F93" s="14">
        <f t="shared" si="3"/>
        <v>15947.861314696878</v>
      </c>
      <c r="G93" s="22"/>
      <c r="H93" s="22"/>
      <c r="I93" s="22"/>
      <c r="J93" s="22"/>
      <c r="K93" s="22"/>
    </row>
    <row r="94" spans="1:11">
      <c r="A94" s="22"/>
      <c r="B94" s="16">
        <v>84</v>
      </c>
      <c r="C94" s="15">
        <v>2.2186468108865636E-2</v>
      </c>
      <c r="D94" s="15">
        <v>0.9778135318911344</v>
      </c>
      <c r="E94" s="14">
        <f t="shared" si="2"/>
        <v>742864.87184000609</v>
      </c>
      <c r="F94" s="14">
        <f t="shared" si="3"/>
        <v>16481.547788274853</v>
      </c>
      <c r="G94" s="22"/>
      <c r="H94" s="22"/>
      <c r="I94" s="22"/>
      <c r="J94" s="22"/>
      <c r="K94" s="22"/>
    </row>
    <row r="95" spans="1:11">
      <c r="A95" s="22"/>
      <c r="B95" s="16">
        <v>85</v>
      </c>
      <c r="C95" s="15">
        <v>2.3986917351833822E-2</v>
      </c>
      <c r="D95" s="15">
        <v>0.97601308264816622</v>
      </c>
      <c r="E95" s="14">
        <f t="shared" si="2"/>
        <v>726383.32405173127</v>
      </c>
      <c r="F95" s="14">
        <f t="shared" si="3"/>
        <v>17423.696759779203</v>
      </c>
      <c r="G95" s="22"/>
      <c r="H95" s="22"/>
      <c r="I95" s="22"/>
      <c r="J95" s="22"/>
      <c r="K95" s="22"/>
    </row>
    <row r="96" spans="1:11">
      <c r="A96" s="22"/>
      <c r="B96" s="16">
        <v>86</v>
      </c>
      <c r="C96" s="15">
        <v>2.6083689660812887E-2</v>
      </c>
      <c r="D96" s="15">
        <v>0.97391631033918713</v>
      </c>
      <c r="E96" s="14">
        <f t="shared" si="2"/>
        <v>708959.62729195203</v>
      </c>
      <c r="F96" s="14">
        <f t="shared" si="3"/>
        <v>18492.282900328846</v>
      </c>
      <c r="G96" s="22"/>
      <c r="H96" s="22"/>
      <c r="I96" s="22"/>
      <c r="J96" s="22"/>
      <c r="K96" s="22"/>
    </row>
    <row r="97" spans="1:11">
      <c r="A97" s="22"/>
      <c r="B97" s="16">
        <v>87</v>
      </c>
      <c r="C97" s="15">
        <v>2.7746377420512863E-2</v>
      </c>
      <c r="D97" s="15">
        <v>0.97225362257948711</v>
      </c>
      <c r="E97" s="14">
        <f t="shared" si="2"/>
        <v>690467.34439162316</v>
      </c>
      <c r="F97" s="14">
        <f t="shared" si="3"/>
        <v>19157.967534029212</v>
      </c>
      <c r="G97" s="22"/>
      <c r="H97" s="22"/>
      <c r="I97" s="22"/>
      <c r="J97" s="22"/>
      <c r="K97" s="22"/>
    </row>
    <row r="98" spans="1:11">
      <c r="A98" s="22"/>
      <c r="B98" s="16">
        <v>88</v>
      </c>
      <c r="C98" s="15">
        <v>2.9822286098377584E-2</v>
      </c>
      <c r="D98" s="15">
        <v>0.97017771390162244</v>
      </c>
      <c r="E98" s="14">
        <f t="shared" si="2"/>
        <v>671309.376857594</v>
      </c>
      <c r="F98" s="14">
        <f t="shared" si="3"/>
        <v>20019.980297170743</v>
      </c>
      <c r="G98" s="22"/>
      <c r="H98" s="22"/>
      <c r="I98" s="22"/>
      <c r="J98" s="22"/>
      <c r="K98" s="22"/>
    </row>
    <row r="99" spans="1:11">
      <c r="A99" s="22"/>
      <c r="B99" s="16">
        <v>89</v>
      </c>
      <c r="C99" s="15">
        <v>3.2281192089433357E-2</v>
      </c>
      <c r="D99" s="15">
        <v>0.96771880791056664</v>
      </c>
      <c r="E99" s="14">
        <f t="shared" si="2"/>
        <v>651289.39656042331</v>
      </c>
      <c r="F99" s="14">
        <f t="shared" si="3"/>
        <v>21024.398116178163</v>
      </c>
      <c r="G99" s="22"/>
      <c r="H99" s="22"/>
      <c r="I99" s="22"/>
      <c r="J99" s="22"/>
      <c r="K99" s="22"/>
    </row>
    <row r="100" spans="1:11">
      <c r="A100" s="22"/>
      <c r="B100" s="16">
        <v>90</v>
      </c>
      <c r="C100" s="15">
        <v>3.4887069030834168E-2</v>
      </c>
      <c r="D100" s="15">
        <v>0.96511293096916584</v>
      </c>
      <c r="E100" s="14">
        <f t="shared" si="2"/>
        <v>630264.9984442452</v>
      </c>
      <c r="F100" s="14">
        <f t="shared" si="3"/>
        <v>21988.09850844297</v>
      </c>
      <c r="G100" s="22"/>
      <c r="H100" s="22"/>
      <c r="I100" s="22"/>
      <c r="J100" s="22"/>
      <c r="K100" s="22"/>
    </row>
    <row r="101" spans="1:11">
      <c r="A101" s="22"/>
      <c r="B101" s="16">
        <v>91</v>
      </c>
      <c r="C101" s="15">
        <v>3.7528987401784258E-2</v>
      </c>
      <c r="D101" s="15">
        <v>0.96247101259821577</v>
      </c>
      <c r="E101" s="14">
        <f t="shared" si="2"/>
        <v>608276.89993580221</v>
      </c>
      <c r="F101" s="14">
        <f t="shared" si="3"/>
        <v>22828.016114487105</v>
      </c>
      <c r="G101" s="22"/>
      <c r="H101" s="22"/>
      <c r="I101" s="22"/>
      <c r="J101" s="22"/>
      <c r="K101" s="22"/>
    </row>
    <row r="102" spans="1:11">
      <c r="A102" s="22"/>
      <c r="B102" s="16">
        <v>92</v>
      </c>
      <c r="C102" s="15">
        <v>4.6398918615274204E-2</v>
      </c>
      <c r="D102" s="15">
        <v>0.95360108138472577</v>
      </c>
      <c r="E102" s="14">
        <f t="shared" si="2"/>
        <v>585448.88382131513</v>
      </c>
      <c r="F102" s="14">
        <f t="shared" si="3"/>
        <v>27164.195113828322</v>
      </c>
      <c r="G102" s="22"/>
      <c r="H102" s="22"/>
      <c r="I102" s="22"/>
      <c r="J102" s="22"/>
      <c r="K102" s="22"/>
    </row>
    <row r="103" spans="1:11">
      <c r="A103" s="22"/>
      <c r="B103" s="16">
        <v>93</v>
      </c>
      <c r="C103" s="15">
        <v>5.7159374126702342E-2</v>
      </c>
      <c r="D103" s="15">
        <v>0.94284062587329764</v>
      </c>
      <c r="E103" s="14">
        <f t="shared" si="2"/>
        <v>558284.68870748684</v>
      </c>
      <c r="F103" s="14">
        <f t="shared" si="3"/>
        <v>31911.203391040795</v>
      </c>
      <c r="G103" s="22"/>
      <c r="H103" s="22"/>
      <c r="I103" s="22"/>
      <c r="J103" s="22"/>
      <c r="K103" s="22"/>
    </row>
    <row r="104" spans="1:11">
      <c r="A104" s="22"/>
      <c r="B104" s="16">
        <v>94</v>
      </c>
      <c r="C104" s="15">
        <v>7.0619634805638876E-2</v>
      </c>
      <c r="D104" s="15">
        <v>0.92938036519436107</v>
      </c>
      <c r="E104" s="14">
        <f t="shared" si="2"/>
        <v>526373.48531644605</v>
      </c>
      <c r="F104" s="14">
        <f t="shared" si="3"/>
        <v>37172.30330441874</v>
      </c>
      <c r="G104" s="22"/>
      <c r="H104" s="22"/>
      <c r="I104" s="22"/>
      <c r="J104" s="22"/>
      <c r="K104" s="22"/>
    </row>
    <row r="105" spans="1:11">
      <c r="A105" s="22"/>
      <c r="B105" s="16">
        <v>95</v>
      </c>
      <c r="C105" s="15">
        <v>8.663572752854716E-2</v>
      </c>
      <c r="D105" s="15">
        <v>0.9133642724714528</v>
      </c>
      <c r="E105" s="14">
        <f t="shared" si="2"/>
        <v>489201.1820120273</v>
      </c>
      <c r="F105" s="14">
        <f t="shared" si="3"/>
        <v>42382.300311437204</v>
      </c>
      <c r="G105" s="22"/>
      <c r="H105" s="22"/>
      <c r="I105" s="22"/>
      <c r="J105" s="22"/>
      <c r="K105" s="22"/>
    </row>
    <row r="106" spans="1:11">
      <c r="A106" s="22"/>
      <c r="B106" s="16">
        <v>96</v>
      </c>
      <c r="C106" s="15">
        <v>0.10660343078718831</v>
      </c>
      <c r="D106" s="15">
        <v>0.89339656921281163</v>
      </c>
      <c r="E106" s="14">
        <f t="shared" si="2"/>
        <v>446818.88170059008</v>
      </c>
      <c r="F106" s="14">
        <f t="shared" si="3"/>
        <v>47632.425729777737</v>
      </c>
      <c r="G106" s="22"/>
      <c r="H106" s="22"/>
      <c r="I106" s="22"/>
      <c r="J106" s="22"/>
      <c r="K106" s="22"/>
    </row>
    <row r="107" spans="1:11">
      <c r="A107" s="22"/>
      <c r="B107" s="16">
        <v>97</v>
      </c>
      <c r="C107" s="15">
        <v>0.1315661001608151</v>
      </c>
      <c r="D107" s="15">
        <v>0.86843389983918495</v>
      </c>
      <c r="E107" s="14">
        <f t="shared" si="2"/>
        <v>399186.45597081236</v>
      </c>
      <c r="F107" s="14">
        <f t="shared" si="3"/>
        <v>52519.405249096708</v>
      </c>
      <c r="G107" s="22"/>
      <c r="H107" s="22"/>
      <c r="I107" s="22"/>
      <c r="J107" s="22"/>
      <c r="K107" s="22"/>
    </row>
    <row r="108" spans="1:11">
      <c r="A108" s="22"/>
      <c r="B108" s="16">
        <v>98</v>
      </c>
      <c r="C108" s="15">
        <v>0.16286196265398944</v>
      </c>
      <c r="D108" s="15">
        <v>0.83713803734601056</v>
      </c>
      <c r="E108" s="14">
        <f t="shared" si="2"/>
        <v>346667.05072171567</v>
      </c>
      <c r="F108" s="14">
        <f t="shared" si="3"/>
        <v>56458.876268008724</v>
      </c>
      <c r="G108" s="22"/>
      <c r="H108" s="22"/>
      <c r="I108" s="22"/>
      <c r="J108" s="22"/>
      <c r="K108" s="22"/>
    </row>
    <row r="109" spans="1:11">
      <c r="A109" s="22"/>
      <c r="B109" s="16">
        <v>99</v>
      </c>
      <c r="C109" s="15">
        <v>0.20263056987171998</v>
      </c>
      <c r="D109" s="15">
        <v>0.79736943012827999</v>
      </c>
      <c r="E109" s="14">
        <f t="shared" si="2"/>
        <v>290208.17445370695</v>
      </c>
      <c r="F109" s="14">
        <f t="shared" si="3"/>
        <v>58805.047770986166</v>
      </c>
      <c r="G109" s="22"/>
      <c r="H109" s="22"/>
      <c r="I109" s="22"/>
      <c r="J109" s="22"/>
      <c r="K109" s="22"/>
    </row>
    <row r="110" spans="1:11">
      <c r="A110" s="22"/>
      <c r="B110" s="16">
        <v>100</v>
      </c>
      <c r="C110" s="15">
        <v>0.25286830221899154</v>
      </c>
      <c r="D110" s="15">
        <v>0.74713169778100852</v>
      </c>
      <c r="E110" s="14">
        <f t="shared" si="2"/>
        <v>231403.12668272079</v>
      </c>
      <c r="F110" s="14">
        <f t="shared" si="3"/>
        <v>58514.515772425824</v>
      </c>
      <c r="G110" s="22"/>
      <c r="H110" s="22"/>
      <c r="I110" s="22"/>
      <c r="J110" s="22"/>
      <c r="K110" s="22"/>
    </row>
    <row r="111" spans="1:11">
      <c r="A111" s="22"/>
      <c r="B111" s="16">
        <v>101</v>
      </c>
      <c r="C111" s="15">
        <v>0.32489000000000001</v>
      </c>
      <c r="D111" s="15">
        <v>0.67510999999999999</v>
      </c>
      <c r="E111" s="14">
        <f t="shared" si="2"/>
        <v>172888.61091029496</v>
      </c>
      <c r="F111" s="14">
        <f t="shared" si="3"/>
        <v>56169.780798645734</v>
      </c>
      <c r="G111" s="22"/>
      <c r="H111" s="22"/>
      <c r="I111" s="22"/>
      <c r="J111" s="22"/>
      <c r="K111" s="22"/>
    </row>
    <row r="112" spans="1:11">
      <c r="A112" s="22"/>
      <c r="B112" s="16">
        <v>102</v>
      </c>
      <c r="C112" s="15">
        <v>0.34756999999999999</v>
      </c>
      <c r="D112" s="15">
        <v>0.65243000000000007</v>
      </c>
      <c r="E112" s="14">
        <f t="shared" si="2"/>
        <v>116718.83011164922</v>
      </c>
      <c r="F112" s="14">
        <f t="shared" si="3"/>
        <v>40567.963781905921</v>
      </c>
      <c r="G112" s="22"/>
      <c r="H112" s="22"/>
      <c r="I112" s="22"/>
      <c r="J112" s="22"/>
      <c r="K112" s="22"/>
    </row>
    <row r="113" spans="1:11">
      <c r="A113" s="22"/>
      <c r="B113" s="16">
        <v>103</v>
      </c>
      <c r="C113" s="15">
        <v>0.37183499999999997</v>
      </c>
      <c r="D113" s="15">
        <v>0.62816500000000008</v>
      </c>
      <c r="E113" s="14">
        <f t="shared" si="2"/>
        <v>76150.866329743294</v>
      </c>
      <c r="F113" s="14">
        <f t="shared" si="3"/>
        <v>28315.557381720097</v>
      </c>
      <c r="G113" s="22"/>
      <c r="H113" s="22"/>
      <c r="I113" s="22"/>
      <c r="J113" s="22"/>
      <c r="K113" s="22"/>
    </row>
    <row r="114" spans="1:11">
      <c r="A114" s="22"/>
      <c r="B114" s="16">
        <v>104</v>
      </c>
      <c r="C114" s="15">
        <v>0.39779300000000001</v>
      </c>
      <c r="D114" s="15">
        <v>0.60220699999999994</v>
      </c>
      <c r="E114" s="14">
        <f t="shared" si="2"/>
        <v>47835.308948023201</v>
      </c>
      <c r="F114" s="14">
        <f t="shared" si="3"/>
        <v>19028.551052360992</v>
      </c>
      <c r="G114" s="22"/>
      <c r="H114" s="22"/>
      <c r="I114" s="22"/>
      <c r="J114" s="22"/>
      <c r="K114" s="22"/>
    </row>
    <row r="115" spans="1:11">
      <c r="A115" s="22"/>
      <c r="B115" s="16">
        <v>105</v>
      </c>
      <c r="C115" s="15">
        <v>0.42556299999999997</v>
      </c>
      <c r="D115" s="15">
        <v>0.57443700000000009</v>
      </c>
      <c r="E115" s="14">
        <f t="shared" si="2"/>
        <v>28806.757895662209</v>
      </c>
      <c r="F115" s="14">
        <f t="shared" si="3"/>
        <v>12259.090310351696</v>
      </c>
      <c r="G115" s="22"/>
      <c r="H115" s="22"/>
      <c r="I115" s="22"/>
      <c r="J115" s="22"/>
      <c r="K115" s="22"/>
    </row>
    <row r="116" spans="1:11">
      <c r="A116" s="22"/>
      <c r="B116" s="16">
        <v>106</v>
      </c>
      <c r="C116" s="15">
        <v>0.45527200000000001</v>
      </c>
      <c r="D116" s="15">
        <v>0.54472799999999999</v>
      </c>
      <c r="E116" s="14">
        <f t="shared" si="2"/>
        <v>16547.667585310512</v>
      </c>
      <c r="F116" s="14">
        <f t="shared" si="3"/>
        <v>7533.6897168994874</v>
      </c>
      <c r="G116" s="22"/>
      <c r="H116" s="22"/>
      <c r="I116" s="22"/>
      <c r="J116" s="22"/>
      <c r="K116" s="22"/>
    </row>
    <row r="117" spans="1:11">
      <c r="A117" s="22"/>
      <c r="B117" s="16">
        <v>107</v>
      </c>
      <c r="C117" s="15">
        <v>0.48705500000000002</v>
      </c>
      <c r="D117" s="15">
        <v>0.51294499999999998</v>
      </c>
      <c r="E117" s="14">
        <f t="shared" si="2"/>
        <v>9013.9778684110242</v>
      </c>
      <c r="F117" s="14">
        <f t="shared" si="3"/>
        <v>4390.3029906989314</v>
      </c>
      <c r="G117" s="22"/>
      <c r="H117" s="22"/>
      <c r="I117" s="22"/>
      <c r="J117" s="22"/>
      <c r="K117" s="22"/>
    </row>
    <row r="118" spans="1:11">
      <c r="A118" s="22"/>
      <c r="B118" s="16">
        <v>108</v>
      </c>
      <c r="C118" s="15">
        <v>0.51080099999999995</v>
      </c>
      <c r="D118" s="15">
        <v>0.48919900000000005</v>
      </c>
      <c r="E118" s="14">
        <f t="shared" si="2"/>
        <v>4623.6748777120929</v>
      </c>
      <c r="F118" s="14">
        <f t="shared" si="3"/>
        <v>2361.7777512102143</v>
      </c>
      <c r="G118" s="22"/>
      <c r="H118" s="22"/>
      <c r="I118" s="22"/>
      <c r="J118" s="22"/>
      <c r="K118" s="22"/>
    </row>
    <row r="119" spans="1:11">
      <c r="A119" s="22"/>
      <c r="B119" s="16">
        <v>109</v>
      </c>
      <c r="C119" s="15">
        <v>0.53570399999999996</v>
      </c>
      <c r="D119" s="15">
        <v>0.46429600000000004</v>
      </c>
      <c r="E119" s="14">
        <f t="shared" si="2"/>
        <v>2261.8971265018786</v>
      </c>
      <c r="F119" s="14">
        <f t="shared" si="3"/>
        <v>1211.7073382555623</v>
      </c>
      <c r="G119" s="22"/>
      <c r="H119" s="22"/>
      <c r="I119" s="22"/>
      <c r="J119" s="22"/>
      <c r="K119" s="22"/>
    </row>
    <row r="120" spans="1:11">
      <c r="A120" s="22"/>
      <c r="B120" s="16">
        <v>110</v>
      </c>
      <c r="C120" s="15">
        <v>0.56182100000000001</v>
      </c>
      <c r="D120" s="15">
        <v>0.43817899999999999</v>
      </c>
      <c r="E120" s="14">
        <f t="shared" si="2"/>
        <v>1050.1897882463163</v>
      </c>
      <c r="F120" s="14">
        <f t="shared" si="3"/>
        <v>590.01867702233369</v>
      </c>
      <c r="G120" s="22"/>
      <c r="H120" s="22"/>
      <c r="I120" s="22"/>
      <c r="J120" s="22"/>
      <c r="K120" s="22"/>
    </row>
    <row r="121" spans="1:11">
      <c r="A121" s="22"/>
      <c r="B121" s="16">
        <v>111</v>
      </c>
      <c r="C121" s="15">
        <v>0.58921100000000004</v>
      </c>
      <c r="D121" s="15">
        <v>0.41078899999999996</v>
      </c>
      <c r="E121" s="14">
        <f t="shared" si="2"/>
        <v>460.17111122398262</v>
      </c>
      <c r="F121" s="14">
        <f t="shared" si="3"/>
        <v>271.13788061539407</v>
      </c>
      <c r="G121" s="22"/>
      <c r="H121" s="22"/>
      <c r="I121" s="22"/>
      <c r="J121" s="22"/>
      <c r="K121" s="22"/>
    </row>
    <row r="122" spans="1:11">
      <c r="A122" s="22"/>
      <c r="B122" s="16">
        <v>112</v>
      </c>
      <c r="C122" s="15">
        <v>0.61793699999999996</v>
      </c>
      <c r="D122" s="15">
        <v>0.38206300000000004</v>
      </c>
      <c r="E122" s="14">
        <f t="shared" si="2"/>
        <v>189.03323060858855</v>
      </c>
      <c r="F122" s="14">
        <f t="shared" si="3"/>
        <v>116.81062742257937</v>
      </c>
      <c r="G122" s="22"/>
      <c r="H122" s="22"/>
      <c r="I122" s="22"/>
      <c r="J122" s="22"/>
      <c r="K122" s="22"/>
    </row>
    <row r="123" spans="1:11">
      <c r="A123" s="22"/>
      <c r="B123" s="16">
        <v>113</v>
      </c>
      <c r="C123" s="15">
        <v>0.64806399999999997</v>
      </c>
      <c r="D123" s="15">
        <v>0.35193600000000003</v>
      </c>
      <c r="E123" s="14">
        <f t="shared" si="2"/>
        <v>72.222603186009181</v>
      </c>
      <c r="F123" s="14">
        <f t="shared" si="3"/>
        <v>46.804869111137855</v>
      </c>
      <c r="G123" s="22"/>
      <c r="H123" s="22"/>
      <c r="I123" s="22"/>
      <c r="J123" s="22"/>
      <c r="K123" s="22"/>
    </row>
    <row r="124" spans="1:11">
      <c r="A124" s="22"/>
      <c r="B124" s="16">
        <v>114</v>
      </c>
      <c r="C124" s="15">
        <v>0.67965900000000001</v>
      </c>
      <c r="D124" s="15">
        <v>0.32034099999999999</v>
      </c>
      <c r="E124" s="14">
        <f t="shared" si="2"/>
        <v>25.417734074871326</v>
      </c>
      <c r="F124" s="14">
        <f t="shared" si="3"/>
        <v>17.275391723592971</v>
      </c>
      <c r="G124" s="22"/>
      <c r="H124" s="22"/>
      <c r="I124" s="22"/>
      <c r="J124" s="22"/>
      <c r="K124" s="22"/>
    </row>
    <row r="125" spans="1:11">
      <c r="A125" s="22"/>
      <c r="B125" s="16">
        <v>115</v>
      </c>
      <c r="C125" s="15">
        <v>1</v>
      </c>
      <c r="D125" s="15">
        <v>0</v>
      </c>
      <c r="E125" s="14">
        <f t="shared" si="2"/>
        <v>8.142342351278355</v>
      </c>
      <c r="F125" s="14">
        <f t="shared" si="3"/>
        <v>8.142342351278355</v>
      </c>
      <c r="G125" s="22"/>
      <c r="H125" s="22"/>
      <c r="I125" s="22"/>
      <c r="J125" s="22"/>
      <c r="K125" s="22"/>
    </row>
    <row r="126" spans="1:11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</row>
    <row r="127" spans="1:11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</row>
    <row r="128" spans="1:11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</row>
    <row r="129" spans="1:11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</row>
    <row r="130" spans="1:11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</row>
  </sheetData>
  <mergeCells count="1">
    <mergeCell ref="B2:F2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Generar">
                <anchor moveWithCells="1" sizeWithCells="1">
                  <from>
                    <xdr:col>3</xdr:col>
                    <xdr:colOff>469900</xdr:colOff>
                    <xdr:row>3</xdr:row>
                    <xdr:rowOff>25400</xdr:rowOff>
                  </from>
                  <to>
                    <xdr:col>5</xdr:col>
                    <xdr:colOff>25400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Base!$Q$2:$Q$3</xm:f>
          </x14:formula1>
          <xm:sqref>C4</xm:sqref>
        </x14:dataValidation>
        <x14:dataValidation type="list" showInputMessage="1" showErrorMessage="1">
          <x14:formula1>
            <xm:f>Base!$R$2:$R$3</xm:f>
          </x14:formula1>
          <xm:sqref>C6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2:R122"/>
  <sheetViews>
    <sheetView workbookViewId="0">
      <selection activeCell="P13" sqref="P13"/>
    </sheetView>
  </sheetViews>
  <sheetFormatPr baseColWidth="10" defaultRowHeight="15" x14ac:dyDescent="0"/>
  <cols>
    <col min="5" max="5" width="9.1640625" bestFit="1" customWidth="1"/>
    <col min="6" max="6" width="8.33203125" bestFit="1" customWidth="1"/>
    <col min="14" max="14" width="14.33203125" customWidth="1"/>
    <col min="17" max="17" width="12.83203125" bestFit="1" customWidth="1"/>
  </cols>
  <sheetData>
    <row r="2" spans="1:18" ht="20">
      <c r="B2" s="10" t="s">
        <v>6</v>
      </c>
      <c r="D2" t="s">
        <v>10</v>
      </c>
      <c r="H2" s="10" t="s">
        <v>7</v>
      </c>
      <c r="J2" t="s">
        <v>9</v>
      </c>
      <c r="Q2" t="s">
        <v>15</v>
      </c>
      <c r="R2" t="s">
        <v>19</v>
      </c>
    </row>
    <row r="3" spans="1:18" ht="16" thickBot="1">
      <c r="Q3" t="s">
        <v>16</v>
      </c>
      <c r="R3" t="s">
        <v>20</v>
      </c>
    </row>
    <row r="4" spans="1:18" ht="32" customHeight="1" thickBot="1">
      <c r="B4" s="1" t="s">
        <v>0</v>
      </c>
      <c r="C4" s="31" t="s">
        <v>1</v>
      </c>
      <c r="D4" s="32"/>
      <c r="E4" s="33" t="s">
        <v>2</v>
      </c>
      <c r="F4" s="34"/>
      <c r="H4" s="1" t="s">
        <v>0</v>
      </c>
      <c r="I4" s="31" t="s">
        <v>1</v>
      </c>
      <c r="J4" s="32"/>
      <c r="K4" s="33" t="s">
        <v>8</v>
      </c>
      <c r="L4" s="34"/>
    </row>
    <row r="5" spans="1:18" ht="31" thickBot="1">
      <c r="B5" s="2" t="s">
        <v>3</v>
      </c>
      <c r="C5" s="3" t="s">
        <v>4</v>
      </c>
      <c r="D5" s="3" t="s">
        <v>5</v>
      </c>
      <c r="E5" s="3" t="s">
        <v>4</v>
      </c>
      <c r="F5" s="3" t="s">
        <v>5</v>
      </c>
      <c r="H5" s="2" t="s">
        <v>3</v>
      </c>
      <c r="I5" s="3" t="s">
        <v>4</v>
      </c>
      <c r="J5" s="3" t="s">
        <v>5</v>
      </c>
      <c r="K5" s="3" t="s">
        <v>4</v>
      </c>
      <c r="L5" s="3" t="s">
        <v>5</v>
      </c>
    </row>
    <row r="6" spans="1:18" ht="16" thickBot="1">
      <c r="B6" s="4"/>
      <c r="C6" s="5"/>
      <c r="D6" s="5"/>
      <c r="E6" s="5"/>
      <c r="F6" s="5"/>
      <c r="H6" s="4"/>
      <c r="I6" s="5"/>
      <c r="J6" s="5"/>
      <c r="K6" s="5"/>
      <c r="L6" s="5"/>
    </row>
    <row r="7" spans="1:18" ht="16" thickBot="1">
      <c r="A7">
        <v>0</v>
      </c>
      <c r="B7" s="6">
        <v>2000</v>
      </c>
      <c r="C7" s="7">
        <v>6.4870000000000001</v>
      </c>
      <c r="D7" s="7">
        <v>3.633</v>
      </c>
      <c r="E7" s="7">
        <v>0</v>
      </c>
      <c r="F7" s="7">
        <v>0.04</v>
      </c>
      <c r="H7" s="6">
        <v>2000</v>
      </c>
      <c r="I7" s="7">
        <v>5.742</v>
      </c>
      <c r="J7" s="7">
        <v>3.2149999999999999</v>
      </c>
      <c r="K7" s="7">
        <v>1.4999999999999999E-2</v>
      </c>
      <c r="L7" s="7">
        <v>0.04</v>
      </c>
      <c r="N7" s="13"/>
    </row>
    <row r="8" spans="1:18" ht="16" thickBot="1">
      <c r="A8">
        <v>1</v>
      </c>
      <c r="B8" s="6">
        <v>1999</v>
      </c>
      <c r="C8" s="7">
        <v>0.63800000000000001</v>
      </c>
      <c r="D8" s="7">
        <v>0.29799999999999999</v>
      </c>
      <c r="E8" s="7">
        <v>0</v>
      </c>
      <c r="F8" s="7">
        <v>0.04</v>
      </c>
      <c r="H8" s="6">
        <v>1999</v>
      </c>
      <c r="I8" s="7">
        <v>0.56499999999999995</v>
      </c>
      <c r="J8" s="7">
        <v>0.26400000000000001</v>
      </c>
      <c r="K8" s="7">
        <v>1.4999999999999999E-2</v>
      </c>
      <c r="L8" s="7">
        <v>0.04</v>
      </c>
      <c r="N8" s="13"/>
      <c r="Q8" s="12"/>
    </row>
    <row r="9" spans="1:18" ht="16" thickBot="1">
      <c r="A9">
        <v>2</v>
      </c>
      <c r="B9" s="6">
        <v>1998</v>
      </c>
      <c r="C9" s="7">
        <v>0.33900000000000002</v>
      </c>
      <c r="D9" s="7">
        <v>0.221</v>
      </c>
      <c r="E9" s="7">
        <v>0</v>
      </c>
      <c r="F9" s="7">
        <v>0.04</v>
      </c>
      <c r="H9" s="6">
        <v>1998</v>
      </c>
      <c r="I9" s="7">
        <v>0.3</v>
      </c>
      <c r="J9" s="7">
        <v>0.19600000000000001</v>
      </c>
      <c r="K9" s="7">
        <v>1.4999999999999999E-2</v>
      </c>
      <c r="L9" s="7">
        <v>0.04</v>
      </c>
      <c r="N9" s="13"/>
      <c r="Q9" s="12"/>
    </row>
    <row r="10" spans="1:18" ht="16" thickBot="1">
      <c r="A10">
        <v>3</v>
      </c>
      <c r="B10" s="6">
        <v>1997</v>
      </c>
      <c r="C10" s="7">
        <v>0.3</v>
      </c>
      <c r="D10" s="7">
        <v>0.14899999999999999</v>
      </c>
      <c r="E10" s="7">
        <v>0</v>
      </c>
      <c r="F10" s="7">
        <v>0.04</v>
      </c>
      <c r="H10" s="6">
        <v>1997</v>
      </c>
      <c r="I10" s="7">
        <v>0.26600000000000001</v>
      </c>
      <c r="J10" s="7">
        <v>0.13200000000000001</v>
      </c>
      <c r="K10" s="7">
        <v>1.4999999999999999E-2</v>
      </c>
      <c r="L10" s="7">
        <v>0.04</v>
      </c>
      <c r="N10" s="13"/>
      <c r="Q10" s="12"/>
    </row>
    <row r="11" spans="1:18" ht="16" thickBot="1">
      <c r="A11">
        <v>4</v>
      </c>
      <c r="B11" s="6">
        <v>1996</v>
      </c>
      <c r="C11" s="7">
        <v>0.254</v>
      </c>
      <c r="D11" s="7">
        <v>0.14399999999999999</v>
      </c>
      <c r="E11" s="7">
        <v>0</v>
      </c>
      <c r="F11" s="7">
        <v>0.04</v>
      </c>
      <c r="H11" s="6">
        <v>1996</v>
      </c>
      <c r="I11" s="7">
        <v>0.22500000000000001</v>
      </c>
      <c r="J11" s="7">
        <v>0.128</v>
      </c>
      <c r="K11" s="7">
        <v>1.4999999999999999E-2</v>
      </c>
      <c r="L11" s="7">
        <v>0.04</v>
      </c>
      <c r="N11" s="13"/>
      <c r="Q11" s="12"/>
    </row>
    <row r="12" spans="1:18" ht="16" thickBot="1">
      <c r="A12">
        <v>5</v>
      </c>
      <c r="B12" s="6">
        <v>1995</v>
      </c>
      <c r="C12" s="7">
        <v>0.247</v>
      </c>
      <c r="D12" s="7">
        <v>0.11899999999999999</v>
      </c>
      <c r="E12" s="7">
        <v>0</v>
      </c>
      <c r="F12" s="7">
        <v>0.04</v>
      </c>
      <c r="H12" s="6">
        <v>1995</v>
      </c>
      <c r="I12" s="7">
        <v>0.218</v>
      </c>
      <c r="J12" s="7">
        <v>0.105</v>
      </c>
      <c r="K12" s="7">
        <v>1.4999999999999999E-2</v>
      </c>
      <c r="L12" s="7">
        <v>0.04</v>
      </c>
      <c r="N12" s="13"/>
      <c r="Q12" s="12"/>
    </row>
    <row r="13" spans="1:18" ht="16" thickBot="1">
      <c r="A13">
        <v>6</v>
      </c>
      <c r="B13" s="6">
        <v>1994</v>
      </c>
      <c r="C13" s="7">
        <v>0.223</v>
      </c>
      <c r="D13" s="7">
        <v>0.108</v>
      </c>
      <c r="E13" s="7">
        <v>0</v>
      </c>
      <c r="F13" s="7">
        <v>0.04</v>
      </c>
      <c r="H13" s="6">
        <v>1994</v>
      </c>
      <c r="I13" s="7">
        <v>0.19800000000000001</v>
      </c>
      <c r="J13" s="7">
        <v>9.6000000000000002E-2</v>
      </c>
      <c r="K13" s="7">
        <v>1.4999999999999999E-2</v>
      </c>
      <c r="L13" s="7">
        <v>0.04</v>
      </c>
      <c r="N13" s="13"/>
      <c r="Q13" s="12"/>
    </row>
    <row r="14" spans="1:18" ht="16" thickBot="1">
      <c r="A14">
        <v>7</v>
      </c>
      <c r="B14" s="6">
        <v>1993</v>
      </c>
      <c r="C14" s="7">
        <v>0.216</v>
      </c>
      <c r="D14" s="7">
        <v>9.8000000000000004E-2</v>
      </c>
      <c r="E14" s="7">
        <v>0</v>
      </c>
      <c r="F14" s="7">
        <v>0.04</v>
      </c>
      <c r="H14" s="6">
        <v>1993</v>
      </c>
      <c r="I14" s="7">
        <v>0.191</v>
      </c>
      <c r="J14" s="7">
        <v>8.6999999999999994E-2</v>
      </c>
      <c r="K14" s="7">
        <v>1.4999999999999999E-2</v>
      </c>
      <c r="L14" s="7">
        <v>0.04</v>
      </c>
      <c r="N14" s="13"/>
      <c r="Q14" s="12"/>
    </row>
    <row r="15" spans="1:18" ht="16" thickBot="1">
      <c r="A15">
        <v>8</v>
      </c>
      <c r="B15" s="6">
        <v>1992</v>
      </c>
      <c r="C15" s="7">
        <v>0.2</v>
      </c>
      <c r="D15" s="7">
        <v>8.3000000000000004E-2</v>
      </c>
      <c r="E15" s="7">
        <v>0</v>
      </c>
      <c r="F15" s="7">
        <v>0.04</v>
      </c>
      <c r="H15" s="6">
        <v>1992</v>
      </c>
      <c r="I15" s="7">
        <v>0.17699999999999999</v>
      </c>
      <c r="J15" s="7">
        <v>7.2999999999999995E-2</v>
      </c>
      <c r="K15" s="7">
        <v>1.4999999999999999E-2</v>
      </c>
      <c r="L15" s="7">
        <v>0.04</v>
      </c>
      <c r="N15" s="13"/>
      <c r="Q15" s="12"/>
    </row>
    <row r="16" spans="1:18" ht="16" thickBot="1">
      <c r="A16">
        <v>9</v>
      </c>
      <c r="B16" s="6">
        <v>1991</v>
      </c>
      <c r="C16" s="7">
        <v>0.193</v>
      </c>
      <c r="D16" s="7">
        <v>7.6999999999999999E-2</v>
      </c>
      <c r="E16" s="7">
        <v>0</v>
      </c>
      <c r="F16" s="7">
        <v>0.04</v>
      </c>
      <c r="H16" s="6">
        <v>1991</v>
      </c>
      <c r="I16" s="7">
        <v>0.17100000000000001</v>
      </c>
      <c r="J16" s="7">
        <v>6.8000000000000005E-2</v>
      </c>
      <c r="K16" s="7">
        <v>1.4999999999999999E-2</v>
      </c>
      <c r="L16" s="7">
        <v>0.04</v>
      </c>
      <c r="N16" s="13"/>
      <c r="Q16" s="12"/>
    </row>
    <row r="17" spans="1:17" ht="16" thickBot="1">
      <c r="A17">
        <v>10</v>
      </c>
      <c r="B17" s="6">
        <v>1990</v>
      </c>
      <c r="C17" s="7">
        <v>0.185</v>
      </c>
      <c r="D17" s="7">
        <v>8.3000000000000004E-2</v>
      </c>
      <c r="E17" s="7">
        <v>0</v>
      </c>
      <c r="F17" s="7">
        <v>0.04</v>
      </c>
      <c r="H17" s="6">
        <v>1990</v>
      </c>
      <c r="I17" s="7">
        <v>0.16400000000000001</v>
      </c>
      <c r="J17" s="7">
        <v>7.2999999999999995E-2</v>
      </c>
      <c r="K17" s="7">
        <v>1.4999999999999999E-2</v>
      </c>
      <c r="L17" s="7">
        <v>0.04</v>
      </c>
      <c r="N17" s="13"/>
      <c r="Q17" s="12"/>
    </row>
    <row r="18" spans="1:17" ht="16" thickBot="1">
      <c r="A18">
        <v>11</v>
      </c>
      <c r="B18" s="6">
        <v>1989</v>
      </c>
      <c r="C18" s="7">
        <v>0.20100000000000001</v>
      </c>
      <c r="D18" s="7">
        <v>0.10299999999999999</v>
      </c>
      <c r="E18" s="7">
        <v>0</v>
      </c>
      <c r="F18" s="7">
        <v>0.03</v>
      </c>
      <c r="H18" s="6">
        <v>1989</v>
      </c>
      <c r="I18" s="7">
        <v>0.17799999999999999</v>
      </c>
      <c r="J18" s="7">
        <v>9.0999999999999998E-2</v>
      </c>
      <c r="K18" s="7">
        <v>1.4999999999999999E-2</v>
      </c>
      <c r="L18" s="7">
        <v>0.03</v>
      </c>
      <c r="N18" s="13"/>
      <c r="Q18" s="12"/>
    </row>
    <row r="19" spans="1:17" ht="16" thickBot="1">
      <c r="A19">
        <v>12</v>
      </c>
      <c r="B19" s="6">
        <v>1988</v>
      </c>
      <c r="C19" s="7">
        <v>0.20799999999999999</v>
      </c>
      <c r="D19" s="7">
        <v>0.12</v>
      </c>
      <c r="E19" s="7">
        <v>0</v>
      </c>
      <c r="F19" s="7">
        <v>0.03</v>
      </c>
      <c r="H19" s="6">
        <v>1988</v>
      </c>
      <c r="I19" s="7">
        <v>0.184</v>
      </c>
      <c r="J19" s="7">
        <v>0.106</v>
      </c>
      <c r="K19" s="7">
        <v>1.4999999999999999E-2</v>
      </c>
      <c r="L19" s="7">
        <v>0.03</v>
      </c>
      <c r="N19" s="13"/>
      <c r="Q19" s="12"/>
    </row>
    <row r="20" spans="1:17" ht="16" thickBot="1">
      <c r="A20">
        <v>13</v>
      </c>
      <c r="B20" s="6">
        <v>1987</v>
      </c>
      <c r="C20" s="7">
        <v>0.247</v>
      </c>
      <c r="D20" s="7">
        <v>0.13500000000000001</v>
      </c>
      <c r="E20" s="7">
        <v>0</v>
      </c>
      <c r="F20" s="7">
        <v>2.7E-2</v>
      </c>
      <c r="H20" s="6">
        <v>1987</v>
      </c>
      <c r="I20" s="7">
        <v>0.219</v>
      </c>
      <c r="J20" s="7">
        <v>0.12</v>
      </c>
      <c r="K20" s="7">
        <v>1.4999999999999999E-2</v>
      </c>
      <c r="L20" s="7">
        <v>2.7E-2</v>
      </c>
      <c r="N20" s="13"/>
      <c r="Q20" s="12"/>
    </row>
    <row r="21" spans="1:17" ht="16" thickBot="1">
      <c r="A21">
        <v>14</v>
      </c>
      <c r="B21" s="6">
        <v>1986</v>
      </c>
      <c r="C21" s="7">
        <v>0.30099999999999999</v>
      </c>
      <c r="D21" s="7">
        <v>0.14099999999999999</v>
      </c>
      <c r="E21" s="7">
        <v>0</v>
      </c>
      <c r="F21" s="7">
        <v>2.7E-2</v>
      </c>
      <c r="H21" s="6">
        <v>1986</v>
      </c>
      <c r="I21" s="7">
        <v>0.26700000000000002</v>
      </c>
      <c r="J21" s="7">
        <v>0.125</v>
      </c>
      <c r="K21" s="7">
        <v>1.4999999999999999E-2</v>
      </c>
      <c r="L21" s="7">
        <v>2.7E-2</v>
      </c>
      <c r="N21" s="13"/>
      <c r="Q21" s="12"/>
    </row>
    <row r="22" spans="1:17" ht="16" thickBot="1">
      <c r="A22">
        <v>15</v>
      </c>
      <c r="B22" s="6">
        <v>1985</v>
      </c>
      <c r="C22" s="7">
        <v>0.41</v>
      </c>
      <c r="D22" s="7">
        <v>0.153</v>
      </c>
      <c r="E22" s="7">
        <v>0</v>
      </c>
      <c r="F22" s="7">
        <v>2.7E-2</v>
      </c>
      <c r="H22" s="6">
        <v>1985</v>
      </c>
      <c r="I22" s="7">
        <v>0.36199999999999999</v>
      </c>
      <c r="J22" s="7">
        <v>0.13500000000000001</v>
      </c>
      <c r="K22" s="7">
        <v>1.4999999999999999E-2</v>
      </c>
      <c r="L22" s="7">
        <v>2.7E-2</v>
      </c>
      <c r="N22" s="13"/>
      <c r="Q22" s="12"/>
    </row>
    <row r="23" spans="1:17" ht="16" thickBot="1">
      <c r="A23">
        <v>16</v>
      </c>
      <c r="B23" s="6">
        <v>1984</v>
      </c>
      <c r="C23" s="7">
        <v>0.57199999999999995</v>
      </c>
      <c r="D23" s="7">
        <v>0.17699999999999999</v>
      </c>
      <c r="E23" s="7">
        <v>0</v>
      </c>
      <c r="F23" s="7">
        <v>2.7E-2</v>
      </c>
      <c r="H23" s="6">
        <v>1984</v>
      </c>
      <c r="I23" s="7">
        <v>0.50600000000000001</v>
      </c>
      <c r="J23" s="7">
        <v>0.156</v>
      </c>
      <c r="K23" s="7">
        <v>1.4999999999999999E-2</v>
      </c>
      <c r="L23" s="7">
        <v>2.7E-2</v>
      </c>
      <c r="N23" s="13"/>
      <c r="Q23" s="12"/>
    </row>
    <row r="24" spans="1:17" ht="16" thickBot="1">
      <c r="A24">
        <v>17</v>
      </c>
      <c r="B24" s="6">
        <v>1983</v>
      </c>
      <c r="C24" s="7">
        <v>0.74299999999999999</v>
      </c>
      <c r="D24" s="7">
        <v>0.20599999999999999</v>
      </c>
      <c r="E24" s="7">
        <v>0</v>
      </c>
      <c r="F24" s="7">
        <v>2.7E-2</v>
      </c>
      <c r="H24" s="6">
        <v>1983</v>
      </c>
      <c r="I24" s="7">
        <v>0.65700000000000003</v>
      </c>
      <c r="J24" s="7">
        <v>0.182</v>
      </c>
      <c r="K24" s="7">
        <v>1.4999999999999999E-2</v>
      </c>
      <c r="L24" s="7">
        <v>2.7E-2</v>
      </c>
      <c r="N24" s="13"/>
      <c r="Q24" s="12"/>
    </row>
    <row r="25" spans="1:17" ht="16" thickBot="1">
      <c r="A25">
        <v>18</v>
      </c>
      <c r="B25" s="6">
        <v>1982</v>
      </c>
      <c r="C25" s="7">
        <v>0.875</v>
      </c>
      <c r="D25" s="7">
        <v>0.224</v>
      </c>
      <c r="E25" s="7">
        <v>0</v>
      </c>
      <c r="F25" s="7">
        <v>2.7E-2</v>
      </c>
      <c r="H25" s="6">
        <v>1982</v>
      </c>
      <c r="I25" s="7">
        <v>0.77400000000000002</v>
      </c>
      <c r="J25" s="7">
        <v>0.19800000000000001</v>
      </c>
      <c r="K25" s="7">
        <v>1.4999999999999999E-2</v>
      </c>
      <c r="L25" s="7">
        <v>2.7E-2</v>
      </c>
      <c r="N25" s="13"/>
      <c r="Q25" s="12"/>
    </row>
    <row r="26" spans="1:17" ht="16" thickBot="1">
      <c r="A26">
        <v>19</v>
      </c>
      <c r="B26" s="6">
        <v>1981</v>
      </c>
      <c r="C26" s="7">
        <v>0.98499999999999999</v>
      </c>
      <c r="D26" s="7">
        <v>0.24099999999999999</v>
      </c>
      <c r="E26" s="7">
        <v>0</v>
      </c>
      <c r="F26" s="7">
        <v>2.7E-2</v>
      </c>
      <c r="H26" s="6">
        <v>1981</v>
      </c>
      <c r="I26" s="7">
        <v>0.871</v>
      </c>
      <c r="J26" s="7">
        <v>0.214</v>
      </c>
      <c r="K26" s="7">
        <v>1.4999999999999999E-2</v>
      </c>
      <c r="L26" s="7">
        <v>2.7E-2</v>
      </c>
      <c r="N26" s="13"/>
      <c r="Q26" s="12"/>
    </row>
    <row r="27" spans="1:17" ht="16" thickBot="1">
      <c r="A27">
        <v>20</v>
      </c>
      <c r="B27" s="6">
        <v>1980</v>
      </c>
      <c r="C27" s="7">
        <v>1.1020000000000001</v>
      </c>
      <c r="D27" s="7">
        <v>0.24199999999999999</v>
      </c>
      <c r="E27" s="7">
        <v>0</v>
      </c>
      <c r="F27" s="7">
        <v>2.7E-2</v>
      </c>
      <c r="H27" s="6">
        <v>1980</v>
      </c>
      <c r="I27" s="7">
        <v>0.97599999999999998</v>
      </c>
      <c r="J27" s="7">
        <v>0.214</v>
      </c>
      <c r="K27" s="7">
        <v>1.4999999999999999E-2</v>
      </c>
      <c r="L27" s="7">
        <v>2.7E-2</v>
      </c>
      <c r="N27" s="13"/>
      <c r="Q27" s="12"/>
    </row>
    <row r="28" spans="1:17" ht="16" thickBot="1">
      <c r="A28">
        <v>21</v>
      </c>
      <c r="B28" s="6">
        <v>1979</v>
      </c>
      <c r="C28" s="7">
        <v>1.143</v>
      </c>
      <c r="D28" s="7">
        <v>0.253</v>
      </c>
      <c r="E28" s="7">
        <v>0</v>
      </c>
      <c r="F28" s="7">
        <v>2.7E-2</v>
      </c>
      <c r="H28" s="6">
        <v>1979</v>
      </c>
      <c r="I28" s="7">
        <v>1.0109999999999999</v>
      </c>
      <c r="J28" s="7">
        <v>0.224</v>
      </c>
      <c r="K28" s="7">
        <v>1.4999999999999999E-2</v>
      </c>
      <c r="L28" s="7">
        <v>2.7E-2</v>
      </c>
      <c r="N28" s="13"/>
      <c r="Q28" s="12"/>
    </row>
    <row r="29" spans="1:17" ht="16" thickBot="1">
      <c r="A29">
        <v>22</v>
      </c>
      <c r="B29" s="6">
        <v>1978</v>
      </c>
      <c r="C29" s="7">
        <v>1.222</v>
      </c>
      <c r="D29" s="7">
        <v>0.24199999999999999</v>
      </c>
      <c r="E29" s="7">
        <v>0</v>
      </c>
      <c r="F29" s="7">
        <v>2.7E-2</v>
      </c>
      <c r="H29" s="6">
        <v>1978</v>
      </c>
      <c r="I29" s="7">
        <v>1.0820000000000001</v>
      </c>
      <c r="J29" s="7">
        <v>0.214</v>
      </c>
      <c r="K29" s="7">
        <v>1.4999999999999999E-2</v>
      </c>
      <c r="L29" s="7">
        <v>2.7E-2</v>
      </c>
      <c r="N29" s="13"/>
      <c r="Q29" s="12"/>
    </row>
    <row r="30" spans="1:17" ht="16" thickBot="1">
      <c r="A30">
        <v>23</v>
      </c>
      <c r="B30" s="6">
        <v>1977</v>
      </c>
      <c r="C30" s="7">
        <v>1.2869999999999999</v>
      </c>
      <c r="D30" s="7">
        <v>0.254</v>
      </c>
      <c r="E30" s="7">
        <v>0</v>
      </c>
      <c r="F30" s="7">
        <v>2.7E-2</v>
      </c>
      <c r="H30" s="6">
        <v>1977</v>
      </c>
      <c r="I30" s="7">
        <v>1.139</v>
      </c>
      <c r="J30" s="7">
        <v>0.22500000000000001</v>
      </c>
      <c r="K30" s="7">
        <v>1.4999999999999999E-2</v>
      </c>
      <c r="L30" s="7">
        <v>2.7E-2</v>
      </c>
      <c r="N30" s="13"/>
      <c r="Q30" s="12"/>
    </row>
    <row r="31" spans="1:17" ht="16" thickBot="1">
      <c r="A31">
        <v>24</v>
      </c>
      <c r="B31" s="6">
        <v>1976</v>
      </c>
      <c r="C31" s="7">
        <v>1.3360000000000001</v>
      </c>
      <c r="D31" s="7">
        <v>0.26600000000000001</v>
      </c>
      <c r="E31" s="7">
        <v>0</v>
      </c>
      <c r="F31" s="7">
        <v>2.7E-2</v>
      </c>
      <c r="H31" s="6">
        <v>1976</v>
      </c>
      <c r="I31" s="7">
        <v>1.1819999999999999</v>
      </c>
      <c r="J31" s="7">
        <v>0.23499999999999999</v>
      </c>
      <c r="K31" s="7">
        <v>1.4999999999999999E-2</v>
      </c>
      <c r="L31" s="7">
        <v>2.7E-2</v>
      </c>
      <c r="N31" s="13"/>
      <c r="Q31" s="12"/>
    </row>
    <row r="32" spans="1:17" ht="16" thickBot="1">
      <c r="A32">
        <v>25</v>
      </c>
      <c r="B32" s="6">
        <v>1975</v>
      </c>
      <c r="C32" s="7">
        <v>1.3220000000000001</v>
      </c>
      <c r="D32" s="7">
        <v>0.27200000000000002</v>
      </c>
      <c r="E32" s="7">
        <v>0</v>
      </c>
      <c r="F32" s="7">
        <v>2.7E-2</v>
      </c>
      <c r="H32" s="6">
        <v>1975</v>
      </c>
      <c r="I32" s="7">
        <v>1.17</v>
      </c>
      <c r="J32" s="7">
        <v>0.24</v>
      </c>
      <c r="K32" s="7">
        <v>1.4999999999999999E-2</v>
      </c>
      <c r="L32" s="7">
        <v>2.7E-2</v>
      </c>
      <c r="N32" s="13"/>
      <c r="Q32" s="12"/>
    </row>
    <row r="33" spans="1:17" ht="16" thickBot="1">
      <c r="A33">
        <v>26</v>
      </c>
      <c r="B33" s="6">
        <v>1974</v>
      </c>
      <c r="C33" s="7">
        <v>1.3480000000000001</v>
      </c>
      <c r="D33" s="7">
        <v>0.29499999999999998</v>
      </c>
      <c r="E33" s="7">
        <v>0</v>
      </c>
      <c r="F33" s="7">
        <v>2.7E-2</v>
      </c>
      <c r="H33" s="6">
        <v>1974</v>
      </c>
      <c r="I33" s="7">
        <v>1.1930000000000001</v>
      </c>
      <c r="J33" s="7">
        <v>0.26100000000000001</v>
      </c>
      <c r="K33" s="7">
        <v>1.4999999999999999E-2</v>
      </c>
      <c r="L33" s="7">
        <v>2.7E-2</v>
      </c>
      <c r="N33" s="13"/>
      <c r="Q33" s="12"/>
    </row>
    <row r="34" spans="1:17" ht="16" thickBot="1">
      <c r="A34">
        <v>27</v>
      </c>
      <c r="B34" s="6">
        <v>1973</v>
      </c>
      <c r="C34" s="7">
        <v>1.3979999999999999</v>
      </c>
      <c r="D34" s="7">
        <v>0.32500000000000001</v>
      </c>
      <c r="E34" s="7">
        <v>0</v>
      </c>
      <c r="F34" s="7">
        <v>2.7E-2</v>
      </c>
      <c r="H34" s="6">
        <v>1973</v>
      </c>
      <c r="I34" s="7">
        <v>1.2370000000000001</v>
      </c>
      <c r="J34" s="7">
        <v>0.28799999999999998</v>
      </c>
      <c r="K34" s="7">
        <v>1.4999999999999999E-2</v>
      </c>
      <c r="L34" s="7">
        <v>2.7E-2</v>
      </c>
      <c r="N34" s="13"/>
      <c r="Q34" s="12"/>
    </row>
    <row r="35" spans="1:17" ht="16" thickBot="1">
      <c r="A35">
        <v>28</v>
      </c>
      <c r="B35" s="8">
        <v>1972</v>
      </c>
      <c r="C35" s="9">
        <v>1.448</v>
      </c>
      <c r="D35" s="9">
        <v>0.33700000000000002</v>
      </c>
      <c r="E35" s="9">
        <v>0</v>
      </c>
      <c r="F35" s="9">
        <v>2.7E-2</v>
      </c>
      <c r="H35" s="6">
        <v>1972</v>
      </c>
      <c r="I35" s="7">
        <v>1.2809999999999999</v>
      </c>
      <c r="J35" s="7">
        <v>0.29799999999999999</v>
      </c>
      <c r="K35" s="7">
        <v>1.4999999999999999E-2</v>
      </c>
      <c r="L35" s="7">
        <v>2.7E-2</v>
      </c>
      <c r="N35" s="13"/>
      <c r="Q35" s="12"/>
    </row>
    <row r="36" spans="1:17" ht="16" thickBot="1">
      <c r="A36">
        <v>29</v>
      </c>
      <c r="B36" s="6">
        <v>1971</v>
      </c>
      <c r="C36" s="7">
        <v>1.466</v>
      </c>
      <c r="D36" s="7">
        <v>0.36699999999999999</v>
      </c>
      <c r="E36" s="7">
        <v>0</v>
      </c>
      <c r="F36" s="7">
        <v>2.7E-2</v>
      </c>
      <c r="H36" s="8">
        <v>1971</v>
      </c>
      <c r="I36" s="9">
        <v>1.298</v>
      </c>
      <c r="J36" s="9">
        <v>0.32500000000000001</v>
      </c>
      <c r="K36" s="9">
        <v>1.4999999999999999E-2</v>
      </c>
      <c r="L36" s="9">
        <v>2.7E-2</v>
      </c>
      <c r="N36" s="13"/>
      <c r="Q36" s="12"/>
    </row>
    <row r="37" spans="1:17" ht="16" thickBot="1">
      <c r="A37">
        <v>30</v>
      </c>
      <c r="B37" s="6">
        <v>1970</v>
      </c>
      <c r="C37" s="7">
        <v>1.429</v>
      </c>
      <c r="D37" s="7">
        <v>0.36699999999999999</v>
      </c>
      <c r="E37" s="7">
        <v>0</v>
      </c>
      <c r="F37" s="7">
        <v>2.7E-2</v>
      </c>
      <c r="H37" s="6">
        <v>1970</v>
      </c>
      <c r="I37" s="7">
        <v>1.2649999999999999</v>
      </c>
      <c r="J37" s="7">
        <v>0.32500000000000001</v>
      </c>
      <c r="K37" s="7">
        <v>1.4999999999999999E-2</v>
      </c>
      <c r="L37" s="7">
        <v>2.7E-2</v>
      </c>
      <c r="N37" s="13"/>
      <c r="Q37" s="12"/>
    </row>
    <row r="38" spans="1:17" ht="16" thickBot="1">
      <c r="A38">
        <v>31</v>
      </c>
      <c r="B38" s="6">
        <v>1969</v>
      </c>
      <c r="C38" s="7">
        <v>1.387</v>
      </c>
      <c r="D38" s="7">
        <v>0.373</v>
      </c>
      <c r="E38" s="7">
        <v>1E-3</v>
      </c>
      <c r="F38" s="7">
        <v>2.7E-2</v>
      </c>
      <c r="H38" s="6">
        <v>1969</v>
      </c>
      <c r="I38" s="7">
        <v>1.2270000000000001</v>
      </c>
      <c r="J38" s="7">
        <v>0.33</v>
      </c>
      <c r="K38" s="7">
        <v>1.4999999999999999E-2</v>
      </c>
      <c r="L38" s="7">
        <v>2.7E-2</v>
      </c>
      <c r="N38" s="13"/>
      <c r="Q38" s="12"/>
    </row>
    <row r="39" spans="1:17" ht="16" thickBot="1">
      <c r="A39">
        <v>32</v>
      </c>
      <c r="B39" s="6">
        <v>1968</v>
      </c>
      <c r="C39" s="7">
        <v>1.4139999999999999</v>
      </c>
      <c r="D39" s="7">
        <v>0.35599999999999998</v>
      </c>
      <c r="E39" s="7">
        <v>2E-3</v>
      </c>
      <c r="F39" s="7">
        <v>2.7E-2</v>
      </c>
      <c r="H39" s="6">
        <v>1968</v>
      </c>
      <c r="I39" s="7">
        <v>1.252</v>
      </c>
      <c r="J39" s="7">
        <v>0.315</v>
      </c>
      <c r="K39" s="7">
        <v>1.4999999999999999E-2</v>
      </c>
      <c r="L39" s="7">
        <v>2.7E-2</v>
      </c>
      <c r="N39" s="13"/>
      <c r="Q39" s="12"/>
    </row>
    <row r="40" spans="1:17" ht="16" thickBot="1">
      <c r="A40">
        <v>33</v>
      </c>
      <c r="B40" s="6">
        <v>1967</v>
      </c>
      <c r="C40" s="7">
        <v>1.4179999999999999</v>
      </c>
      <c r="D40" s="7">
        <v>0.34399999999999997</v>
      </c>
      <c r="E40" s="7">
        <v>3.0000000000000001E-3</v>
      </c>
      <c r="F40" s="7">
        <v>2.7E-2</v>
      </c>
      <c r="H40" s="6">
        <v>1967</v>
      </c>
      <c r="I40" s="7">
        <v>1.2549999999999999</v>
      </c>
      <c r="J40" s="7">
        <v>0.30499999999999999</v>
      </c>
      <c r="K40" s="7">
        <v>1.4999999999999999E-2</v>
      </c>
      <c r="L40" s="7">
        <v>2.7E-2</v>
      </c>
      <c r="N40" s="13"/>
      <c r="Q40" s="12"/>
    </row>
    <row r="41" spans="1:17" ht="16" thickBot="1">
      <c r="A41">
        <v>34</v>
      </c>
      <c r="B41" s="6">
        <v>1966</v>
      </c>
      <c r="C41" s="7">
        <v>1.407</v>
      </c>
      <c r="D41" s="7">
        <v>0.374</v>
      </c>
      <c r="E41" s="7">
        <v>4.0000000000000001E-3</v>
      </c>
      <c r="F41" s="7">
        <v>2.7E-2</v>
      </c>
      <c r="H41" s="6">
        <v>1966</v>
      </c>
      <c r="I41" s="7">
        <v>1.2450000000000001</v>
      </c>
      <c r="J41" s="7">
        <v>0.33100000000000002</v>
      </c>
      <c r="K41" s="7">
        <v>1.4999999999999999E-2</v>
      </c>
      <c r="L41" s="7">
        <v>2.7E-2</v>
      </c>
      <c r="N41" s="13"/>
      <c r="Q41" s="12"/>
    </row>
    <row r="42" spans="1:17" ht="16" thickBot="1">
      <c r="A42">
        <v>35</v>
      </c>
      <c r="B42" s="6">
        <v>1965</v>
      </c>
      <c r="C42" s="7">
        <v>1.38</v>
      </c>
      <c r="D42" s="7">
        <v>0.44</v>
      </c>
      <c r="E42" s="7">
        <v>5.0000000000000001E-3</v>
      </c>
      <c r="F42" s="7">
        <v>2.7E-2</v>
      </c>
      <c r="H42" s="6">
        <v>1965</v>
      </c>
      <c r="I42" s="7">
        <v>1.222</v>
      </c>
      <c r="J42" s="7">
        <v>0.38900000000000001</v>
      </c>
      <c r="K42" s="7">
        <v>1.4999999999999999E-2</v>
      </c>
      <c r="L42" s="7">
        <v>2.7E-2</v>
      </c>
      <c r="N42" s="13"/>
      <c r="Q42" s="12"/>
    </row>
    <row r="43" spans="1:17" ht="16" thickBot="1">
      <c r="A43">
        <v>36</v>
      </c>
      <c r="B43" s="6">
        <v>1964</v>
      </c>
      <c r="C43" s="7">
        <v>1.347</v>
      </c>
      <c r="D43" s="7">
        <v>0.45800000000000002</v>
      </c>
      <c r="E43" s="7">
        <v>6.0000000000000001E-3</v>
      </c>
      <c r="F43" s="7">
        <v>2.7E-2</v>
      </c>
      <c r="H43" s="6">
        <v>1964</v>
      </c>
      <c r="I43" s="7">
        <v>1.1919999999999999</v>
      </c>
      <c r="J43" s="7">
        <v>0.40500000000000003</v>
      </c>
      <c r="K43" s="7">
        <v>1.4999999999999999E-2</v>
      </c>
      <c r="L43" s="7">
        <v>2.7E-2</v>
      </c>
      <c r="N43" s="13"/>
      <c r="Q43" s="12"/>
    </row>
    <row r="44" spans="1:17" ht="16" thickBot="1">
      <c r="A44">
        <v>37</v>
      </c>
      <c r="B44" s="6">
        <v>1963</v>
      </c>
      <c r="C44" s="7">
        <v>1.3360000000000001</v>
      </c>
      <c r="D44" s="7">
        <v>0.46400000000000002</v>
      </c>
      <c r="E44" s="7">
        <v>7.0000000000000001E-3</v>
      </c>
      <c r="F44" s="7">
        <v>2.7E-2</v>
      </c>
      <c r="H44" s="6">
        <v>1963</v>
      </c>
      <c r="I44" s="7">
        <v>1.1819999999999999</v>
      </c>
      <c r="J44" s="7">
        <v>0.41099999999999998</v>
      </c>
      <c r="K44" s="7">
        <v>1.4999999999999999E-2</v>
      </c>
      <c r="L44" s="7">
        <v>2.7E-2</v>
      </c>
      <c r="N44" s="13"/>
      <c r="Q44" s="12"/>
    </row>
    <row r="45" spans="1:17" ht="16" thickBot="1">
      <c r="A45">
        <v>38</v>
      </c>
      <c r="B45" s="6">
        <v>1962</v>
      </c>
      <c r="C45" s="7">
        <v>1.4359999999999999</v>
      </c>
      <c r="D45" s="7">
        <v>0.48799999999999999</v>
      </c>
      <c r="E45" s="7">
        <v>8.0000000000000002E-3</v>
      </c>
      <c r="F45" s="7">
        <v>2.7E-2</v>
      </c>
      <c r="H45" s="6">
        <v>1962</v>
      </c>
      <c r="I45" s="7">
        <v>1.2709999999999999</v>
      </c>
      <c r="J45" s="7">
        <v>0.432</v>
      </c>
      <c r="K45" s="7">
        <v>1.4999999999999999E-2</v>
      </c>
      <c r="L45" s="7">
        <v>2.7E-2</v>
      </c>
      <c r="N45" s="13"/>
      <c r="Q45" s="12"/>
    </row>
    <row r="46" spans="1:17" ht="16" thickBot="1">
      <c r="A46">
        <v>39</v>
      </c>
      <c r="B46" s="6">
        <v>1961</v>
      </c>
      <c r="C46" s="7">
        <v>1.571</v>
      </c>
      <c r="D46" s="7">
        <v>0.495</v>
      </c>
      <c r="E46" s="7">
        <v>8.9999999999999993E-3</v>
      </c>
      <c r="F46" s="7">
        <v>2.7E-2</v>
      </c>
      <c r="H46" s="6">
        <v>1961</v>
      </c>
      <c r="I46" s="7">
        <v>1.391</v>
      </c>
      <c r="J46" s="7">
        <v>0.438</v>
      </c>
      <c r="K46" s="7">
        <v>1.4999999999999999E-2</v>
      </c>
      <c r="L46" s="7">
        <v>2.7E-2</v>
      </c>
      <c r="N46" s="13"/>
      <c r="Q46" s="12"/>
    </row>
    <row r="47" spans="1:17" ht="16" thickBot="1">
      <c r="A47">
        <v>40</v>
      </c>
      <c r="B47" s="6">
        <v>1960</v>
      </c>
      <c r="C47" s="7">
        <v>1.667</v>
      </c>
      <c r="D47" s="7">
        <v>0.58399999999999996</v>
      </c>
      <c r="E47" s="7">
        <v>9.1999999999999998E-3</v>
      </c>
      <c r="F47" s="7">
        <v>2.7E-2</v>
      </c>
      <c r="H47" s="6">
        <v>1960</v>
      </c>
      <c r="I47" s="7">
        <v>1.476</v>
      </c>
      <c r="J47" s="7">
        <v>0.51700000000000002</v>
      </c>
      <c r="K47" s="7">
        <v>1.4999999999999999E-2</v>
      </c>
      <c r="L47" s="7">
        <v>2.7E-2</v>
      </c>
      <c r="N47" s="13"/>
      <c r="Q47" s="12"/>
    </row>
    <row r="48" spans="1:17" ht="16" thickBot="1">
      <c r="A48">
        <v>41</v>
      </c>
      <c r="B48" s="6">
        <v>1959</v>
      </c>
      <c r="C48" s="7">
        <v>1.7929999999999999</v>
      </c>
      <c r="D48" s="7">
        <v>0.56100000000000005</v>
      </c>
      <c r="E48" s="7">
        <v>9.4000000000000004E-3</v>
      </c>
      <c r="F48" s="7">
        <v>2.5999999999999999E-2</v>
      </c>
      <c r="H48" s="6">
        <v>1959</v>
      </c>
      <c r="I48" s="7">
        <v>1.587</v>
      </c>
      <c r="J48" s="7">
        <v>0.496</v>
      </c>
      <c r="K48" s="7">
        <v>1.4999999999999999E-2</v>
      </c>
      <c r="L48" s="7">
        <v>2.5999999999999999E-2</v>
      </c>
      <c r="N48" s="13"/>
      <c r="Q48" s="12"/>
    </row>
    <row r="49" spans="1:17" ht="16" thickBot="1">
      <c r="A49">
        <v>42</v>
      </c>
      <c r="B49" s="6">
        <v>1958</v>
      </c>
      <c r="C49" s="7">
        <v>1.919</v>
      </c>
      <c r="D49" s="7">
        <v>0.65800000000000003</v>
      </c>
      <c r="E49" s="7">
        <v>9.5999999999999992E-3</v>
      </c>
      <c r="F49" s="7">
        <v>2.5999999999999999E-2</v>
      </c>
      <c r="H49" s="6">
        <v>1958</v>
      </c>
      <c r="I49" s="7">
        <v>1.698</v>
      </c>
      <c r="J49" s="7">
        <v>0.58199999999999996</v>
      </c>
      <c r="K49" s="7">
        <v>1.4999999999999999E-2</v>
      </c>
      <c r="L49" s="7">
        <v>2.5999999999999999E-2</v>
      </c>
      <c r="N49" s="13"/>
      <c r="Q49" s="12"/>
    </row>
    <row r="50" spans="1:17" ht="16" thickBot="1">
      <c r="A50">
        <v>43</v>
      </c>
      <c r="B50" s="6">
        <v>1957</v>
      </c>
      <c r="C50" s="7">
        <v>2.016</v>
      </c>
      <c r="D50" s="7">
        <v>0.70699999999999996</v>
      </c>
      <c r="E50" s="7">
        <v>9.7999999999999997E-3</v>
      </c>
      <c r="F50" s="7">
        <v>2.5999999999999999E-2</v>
      </c>
      <c r="H50" s="6">
        <v>1957</v>
      </c>
      <c r="I50" s="7">
        <v>1.784</v>
      </c>
      <c r="J50" s="7">
        <v>0.626</v>
      </c>
      <c r="K50" s="7">
        <v>1.4999999999999999E-2</v>
      </c>
      <c r="L50" s="7">
        <v>2.5999999999999999E-2</v>
      </c>
      <c r="N50" s="13"/>
      <c r="Q50" s="12"/>
    </row>
    <row r="51" spans="1:17" ht="16" thickBot="1">
      <c r="A51">
        <v>44</v>
      </c>
      <c r="B51" s="6">
        <v>1956</v>
      </c>
      <c r="C51" s="7">
        <v>2.1579999999999999</v>
      </c>
      <c r="D51" s="7">
        <v>0.76200000000000001</v>
      </c>
      <c r="E51" s="7">
        <v>0.01</v>
      </c>
      <c r="F51" s="7">
        <v>2.5999999999999999E-2</v>
      </c>
      <c r="H51" s="6">
        <v>1956</v>
      </c>
      <c r="I51" s="7">
        <v>1.91</v>
      </c>
      <c r="J51" s="7">
        <v>0.67500000000000004</v>
      </c>
      <c r="K51" s="7">
        <v>1.4999999999999999E-2</v>
      </c>
      <c r="L51" s="7">
        <v>2.5999999999999999E-2</v>
      </c>
      <c r="N51" s="13"/>
      <c r="Q51" s="12"/>
    </row>
    <row r="52" spans="1:17" ht="16" thickBot="1">
      <c r="A52">
        <v>45</v>
      </c>
      <c r="B52" s="6">
        <v>1955</v>
      </c>
      <c r="C52" s="7">
        <v>2.3340000000000001</v>
      </c>
      <c r="D52" s="7">
        <v>0.85</v>
      </c>
      <c r="E52" s="7">
        <v>0.01</v>
      </c>
      <c r="F52" s="7">
        <v>2.5000000000000001E-2</v>
      </c>
      <c r="H52" s="6">
        <v>1955</v>
      </c>
      <c r="I52" s="7">
        <v>2.0659999999999998</v>
      </c>
      <c r="J52" s="7">
        <v>0.753</v>
      </c>
      <c r="K52" s="7">
        <v>1.4999999999999999E-2</v>
      </c>
      <c r="L52" s="7">
        <v>2.5000000000000001E-2</v>
      </c>
      <c r="N52" s="13"/>
      <c r="Q52" s="12"/>
    </row>
    <row r="53" spans="1:17" ht="16" thickBot="1">
      <c r="A53">
        <v>46</v>
      </c>
      <c r="B53" s="6">
        <v>1954</v>
      </c>
      <c r="C53" s="7">
        <v>2.5649999999999999</v>
      </c>
      <c r="D53" s="7">
        <v>0.87</v>
      </c>
      <c r="E53" s="7">
        <v>0.01</v>
      </c>
      <c r="F53" s="7">
        <v>2.5000000000000001E-2</v>
      </c>
      <c r="H53" s="6">
        <v>1954</v>
      </c>
      <c r="I53" s="7">
        <v>2.27</v>
      </c>
      <c r="J53" s="7">
        <v>0.77</v>
      </c>
      <c r="K53" s="7">
        <v>1.4999999999999999E-2</v>
      </c>
      <c r="L53" s="7">
        <v>2.5000000000000001E-2</v>
      </c>
      <c r="N53" s="13"/>
      <c r="Q53" s="12"/>
    </row>
    <row r="54" spans="1:17" ht="16" thickBot="1">
      <c r="A54">
        <v>47</v>
      </c>
      <c r="B54" s="6">
        <v>1953</v>
      </c>
      <c r="C54" s="7">
        <v>2.6930000000000001</v>
      </c>
      <c r="D54" s="7">
        <v>0.95699999999999996</v>
      </c>
      <c r="E54" s="7">
        <v>0.01</v>
      </c>
      <c r="F54" s="7">
        <v>2.5000000000000001E-2</v>
      </c>
      <c r="H54" s="6">
        <v>1953</v>
      </c>
      <c r="I54" s="7">
        <v>2.3839999999999999</v>
      </c>
      <c r="J54" s="7">
        <v>0.84699999999999998</v>
      </c>
      <c r="K54" s="7">
        <v>1.4999999999999999E-2</v>
      </c>
      <c r="L54" s="7">
        <v>2.5000000000000001E-2</v>
      </c>
      <c r="N54" s="13"/>
      <c r="Q54" s="12"/>
    </row>
    <row r="55" spans="1:17" ht="16" thickBot="1">
      <c r="A55">
        <v>48</v>
      </c>
      <c r="B55" s="6">
        <v>1952</v>
      </c>
      <c r="C55" s="7">
        <v>2.823</v>
      </c>
      <c r="D55" s="7">
        <v>0.996</v>
      </c>
      <c r="E55" s="7">
        <v>0.01</v>
      </c>
      <c r="F55" s="7">
        <v>2.5000000000000001E-2</v>
      </c>
      <c r="H55" s="6">
        <v>1952</v>
      </c>
      <c r="I55" s="7">
        <v>2.4990000000000001</v>
      </c>
      <c r="J55" s="7">
        <v>0.88100000000000001</v>
      </c>
      <c r="K55" s="7">
        <v>1.4999999999999999E-2</v>
      </c>
      <c r="L55" s="7">
        <v>2.5000000000000001E-2</v>
      </c>
      <c r="N55" s="13"/>
      <c r="Q55" s="12"/>
    </row>
    <row r="56" spans="1:17" ht="16" thickBot="1">
      <c r="A56">
        <v>49</v>
      </c>
      <c r="B56" s="6">
        <v>1951</v>
      </c>
      <c r="C56" s="7">
        <v>3.2919999999999998</v>
      </c>
      <c r="D56" s="7">
        <v>1.2</v>
      </c>
      <c r="E56" s="7">
        <v>0.01</v>
      </c>
      <c r="F56" s="7">
        <v>2.4E-2</v>
      </c>
      <c r="H56" s="6">
        <v>1951</v>
      </c>
      <c r="I56" s="7">
        <v>2.9140000000000001</v>
      </c>
      <c r="J56" s="7">
        <v>1.0620000000000001</v>
      </c>
      <c r="K56" s="7">
        <v>1.4999999999999999E-2</v>
      </c>
      <c r="L56" s="7">
        <v>2.5000000000000001E-2</v>
      </c>
      <c r="N56" s="13"/>
      <c r="Q56" s="12"/>
    </row>
    <row r="57" spans="1:17" ht="16" thickBot="1">
      <c r="A57">
        <v>50</v>
      </c>
      <c r="B57" s="6">
        <v>1950</v>
      </c>
      <c r="C57" s="7">
        <v>3.7080000000000002</v>
      </c>
      <c r="D57" s="7">
        <v>1.3779999999999999</v>
      </c>
      <c r="E57" s="7">
        <v>0.01</v>
      </c>
      <c r="F57" s="7">
        <v>2.3E-2</v>
      </c>
      <c r="H57" s="6">
        <v>1950</v>
      </c>
      <c r="I57" s="7">
        <v>3.2810000000000001</v>
      </c>
      <c r="J57" s="7">
        <v>1.22</v>
      </c>
      <c r="K57" s="7">
        <v>1.4999999999999999E-2</v>
      </c>
      <c r="L57" s="7">
        <v>2.5000000000000001E-2</v>
      </c>
      <c r="N57" s="13"/>
      <c r="Q57" s="12"/>
    </row>
    <row r="58" spans="1:17" ht="16" thickBot="1">
      <c r="A58">
        <v>51</v>
      </c>
      <c r="B58" s="6">
        <v>1949</v>
      </c>
      <c r="C58" s="7">
        <v>4.1340000000000003</v>
      </c>
      <c r="D58" s="7">
        <v>1.5580000000000001</v>
      </c>
      <c r="E58" s="7">
        <v>0.01</v>
      </c>
      <c r="F58" s="7">
        <v>2.3E-2</v>
      </c>
      <c r="H58" s="6">
        <v>1949</v>
      </c>
      <c r="I58" s="7">
        <v>3.673</v>
      </c>
      <c r="J58" s="7">
        <v>1.385</v>
      </c>
      <c r="K58" s="7">
        <v>1.4999999999999999E-2</v>
      </c>
      <c r="L58" s="7">
        <v>2.5000000000000001E-2</v>
      </c>
      <c r="N58" s="13"/>
      <c r="Q58" s="12"/>
    </row>
    <row r="59" spans="1:17" ht="16" thickBot="1">
      <c r="A59">
        <v>52</v>
      </c>
      <c r="B59" s="6">
        <v>1948</v>
      </c>
      <c r="C59" s="7">
        <v>4.5019999999999998</v>
      </c>
      <c r="D59" s="7">
        <v>1.631</v>
      </c>
      <c r="E59" s="7">
        <v>0.01</v>
      </c>
      <c r="F59" s="7">
        <v>2.3E-2</v>
      </c>
      <c r="H59" s="6">
        <v>1948</v>
      </c>
      <c r="I59" s="7">
        <v>4.0010000000000003</v>
      </c>
      <c r="J59" s="7">
        <v>1.4490000000000001</v>
      </c>
      <c r="K59" s="7">
        <v>1.4999999999999999E-2</v>
      </c>
      <c r="L59" s="7">
        <v>2.5000000000000001E-2</v>
      </c>
      <c r="N59" s="13"/>
      <c r="Q59" s="12"/>
    </row>
    <row r="60" spans="1:17" ht="16" thickBot="1">
      <c r="A60">
        <v>53</v>
      </c>
      <c r="B60" s="6">
        <v>1947</v>
      </c>
      <c r="C60" s="7">
        <v>5.3719999999999999</v>
      </c>
      <c r="D60" s="7">
        <v>1.9179999999999999</v>
      </c>
      <c r="E60" s="7">
        <v>0.01</v>
      </c>
      <c r="F60" s="7">
        <v>2.3E-2</v>
      </c>
      <c r="H60" s="6">
        <v>1947</v>
      </c>
      <c r="I60" s="7">
        <v>4.7729999999999997</v>
      </c>
      <c r="J60" s="7">
        <v>1.704</v>
      </c>
      <c r="K60" s="7">
        <v>1.4999999999999999E-2</v>
      </c>
      <c r="L60" s="7">
        <v>2.5000000000000001E-2</v>
      </c>
      <c r="N60" s="13"/>
      <c r="Q60" s="12"/>
    </row>
    <row r="61" spans="1:17" ht="16" thickBot="1">
      <c r="A61">
        <v>54</v>
      </c>
      <c r="B61" s="6">
        <v>1946</v>
      </c>
      <c r="C61" s="7">
        <v>5.6950000000000003</v>
      </c>
      <c r="D61" s="7">
        <v>2.0369999999999999</v>
      </c>
      <c r="E61" s="7">
        <v>0.01</v>
      </c>
      <c r="F61" s="7">
        <v>2.3E-2</v>
      </c>
      <c r="H61" s="6">
        <v>1946</v>
      </c>
      <c r="I61" s="7">
        <v>5.0609999999999999</v>
      </c>
      <c r="J61" s="7">
        <v>1.81</v>
      </c>
      <c r="K61" s="7">
        <v>1.4999999999999999E-2</v>
      </c>
      <c r="L61" s="7">
        <v>2.5000000000000001E-2</v>
      </c>
      <c r="N61" s="13"/>
      <c r="Q61" s="12"/>
    </row>
    <row r="62" spans="1:17" ht="16" thickBot="1">
      <c r="A62">
        <v>55</v>
      </c>
      <c r="B62" s="6">
        <v>1945</v>
      </c>
      <c r="C62" s="7">
        <v>6.1059999999999999</v>
      </c>
      <c r="D62" s="7">
        <v>2.1949999999999998</v>
      </c>
      <c r="E62" s="7">
        <v>0.01</v>
      </c>
      <c r="F62" s="7">
        <v>2.3E-2</v>
      </c>
      <c r="H62" s="6">
        <v>1945</v>
      </c>
      <c r="I62" s="7">
        <v>5.4450000000000003</v>
      </c>
      <c r="J62" s="7">
        <v>1.9570000000000001</v>
      </c>
      <c r="K62" s="7">
        <v>1.4999999999999999E-2</v>
      </c>
      <c r="L62" s="7">
        <v>2.5000000000000001E-2</v>
      </c>
      <c r="N62" s="13"/>
      <c r="Q62" s="12"/>
    </row>
    <row r="63" spans="1:17" ht="16" thickBot="1">
      <c r="A63">
        <v>56</v>
      </c>
      <c r="B63" s="6">
        <v>1944</v>
      </c>
      <c r="C63" s="7">
        <v>6.5179999999999998</v>
      </c>
      <c r="D63" s="7">
        <v>2.286</v>
      </c>
      <c r="E63" s="7">
        <v>0.01</v>
      </c>
      <c r="F63" s="7">
        <v>2.3E-2</v>
      </c>
      <c r="H63" s="6">
        <v>1944</v>
      </c>
      <c r="I63" s="7">
        <v>5.8120000000000003</v>
      </c>
      <c r="J63" s="7">
        <v>2.0379999999999998</v>
      </c>
      <c r="K63" s="7">
        <v>1.4999999999999999E-2</v>
      </c>
      <c r="L63" s="7">
        <v>2.5000000000000001E-2</v>
      </c>
      <c r="N63" s="13"/>
      <c r="Q63" s="12"/>
    </row>
    <row r="64" spans="1:17" ht="16" thickBot="1">
      <c r="A64">
        <v>57</v>
      </c>
      <c r="B64" s="6">
        <v>1943</v>
      </c>
      <c r="C64" s="7">
        <v>7.0789999999999997</v>
      </c>
      <c r="D64" s="7">
        <v>2.5659999999999998</v>
      </c>
      <c r="E64" s="7">
        <v>0.01</v>
      </c>
      <c r="F64" s="7">
        <v>2.3E-2</v>
      </c>
      <c r="H64" s="6">
        <v>1943</v>
      </c>
      <c r="I64" s="7">
        <v>6.3129999999999997</v>
      </c>
      <c r="J64" s="7">
        <v>2.2879999999999998</v>
      </c>
      <c r="K64" s="7">
        <v>1.4999999999999999E-2</v>
      </c>
      <c r="L64" s="7">
        <v>2.5000000000000001E-2</v>
      </c>
      <c r="N64" s="13"/>
      <c r="Q64" s="12"/>
    </row>
    <row r="65" spans="1:17" ht="16" thickBot="1">
      <c r="A65">
        <v>58</v>
      </c>
      <c r="B65" s="6">
        <v>1942</v>
      </c>
      <c r="C65" s="7">
        <v>7.7030000000000003</v>
      </c>
      <c r="D65" s="7">
        <v>2.827</v>
      </c>
      <c r="E65" s="7">
        <v>1.0999999999999999E-2</v>
      </c>
      <c r="F65" s="7">
        <v>2.3E-2</v>
      </c>
      <c r="H65" s="6">
        <v>1942</v>
      </c>
      <c r="I65" s="7">
        <v>6.8689999999999998</v>
      </c>
      <c r="J65" s="7">
        <v>2.5209999999999999</v>
      </c>
      <c r="K65" s="7">
        <v>1.4999999999999999E-2</v>
      </c>
      <c r="L65" s="7">
        <v>2.5000000000000001E-2</v>
      </c>
      <c r="N65" s="13"/>
      <c r="Q65" s="12"/>
    </row>
    <row r="66" spans="1:17" ht="16" thickBot="1">
      <c r="A66">
        <v>59</v>
      </c>
      <c r="B66" s="6">
        <v>1941</v>
      </c>
      <c r="C66" s="7">
        <v>8.1829999999999998</v>
      </c>
      <c r="D66" s="7">
        <v>3.0579999999999998</v>
      </c>
      <c r="E66" s="7">
        <v>1.2E-2</v>
      </c>
      <c r="F66" s="7">
        <v>2.3E-2</v>
      </c>
      <c r="H66" s="6">
        <v>1941</v>
      </c>
      <c r="I66" s="7">
        <v>7.298</v>
      </c>
      <c r="J66" s="7">
        <v>2.7269999999999999</v>
      </c>
      <c r="K66" s="7">
        <v>1.4999999999999999E-2</v>
      </c>
      <c r="L66" s="7">
        <v>2.5000000000000001E-2</v>
      </c>
      <c r="N66" s="13"/>
      <c r="Q66" s="12"/>
    </row>
    <row r="67" spans="1:17" ht="16" thickBot="1">
      <c r="A67">
        <v>60</v>
      </c>
      <c r="B67" s="6">
        <v>1940</v>
      </c>
      <c r="C67" s="7">
        <v>9.1839999999999993</v>
      </c>
      <c r="D67" s="7">
        <v>3.4239999999999999</v>
      </c>
      <c r="E67" s="7">
        <v>1.2999999999999999E-2</v>
      </c>
      <c r="F67" s="7">
        <v>2.4E-2</v>
      </c>
      <c r="H67" s="6">
        <v>1940</v>
      </c>
      <c r="I67" s="7">
        <v>8.2200000000000006</v>
      </c>
      <c r="J67" s="7">
        <v>3.0640000000000001</v>
      </c>
      <c r="K67" s="7">
        <v>1.4999999999999999E-2</v>
      </c>
      <c r="L67" s="7">
        <v>2.5000000000000001E-2</v>
      </c>
      <c r="N67" s="13"/>
      <c r="Q67" s="12"/>
    </row>
    <row r="68" spans="1:17" ht="16" thickBot="1">
      <c r="A68">
        <v>61</v>
      </c>
      <c r="B68" s="6">
        <v>1939</v>
      </c>
      <c r="C68" s="7">
        <v>10.07</v>
      </c>
      <c r="D68" s="7">
        <v>3.7269999999999999</v>
      </c>
      <c r="E68" s="7">
        <v>1.2999999999999999E-2</v>
      </c>
      <c r="F68" s="7">
        <v>2.4E-2</v>
      </c>
      <c r="H68" s="6">
        <v>1939</v>
      </c>
      <c r="I68" s="7">
        <v>9.0139999999999993</v>
      </c>
      <c r="J68" s="7">
        <v>3.3359999999999999</v>
      </c>
      <c r="K68" s="7">
        <v>1.4999999999999999E-2</v>
      </c>
      <c r="L68" s="7">
        <v>2.5000000000000001E-2</v>
      </c>
      <c r="N68" s="13"/>
      <c r="Q68" s="12"/>
    </row>
    <row r="69" spans="1:17" ht="16" thickBot="1">
      <c r="A69">
        <v>62</v>
      </c>
      <c r="B69" s="6">
        <v>1938</v>
      </c>
      <c r="C69" s="7">
        <v>10.875999999999999</v>
      </c>
      <c r="D69" s="7">
        <v>4.133</v>
      </c>
      <c r="E69" s="7">
        <v>1.2999999999999999E-2</v>
      </c>
      <c r="F69" s="7">
        <v>2.4E-2</v>
      </c>
      <c r="H69" s="6">
        <v>1938</v>
      </c>
      <c r="I69" s="7">
        <v>9.7349999999999994</v>
      </c>
      <c r="J69" s="7">
        <v>3.6989999999999998</v>
      </c>
      <c r="K69" s="7">
        <v>1.4999999999999999E-2</v>
      </c>
      <c r="L69" s="7">
        <v>2.5000000000000001E-2</v>
      </c>
      <c r="N69" s="13"/>
      <c r="Q69" s="12"/>
    </row>
    <row r="70" spans="1:17" ht="16" thickBot="1">
      <c r="A70">
        <v>63</v>
      </c>
      <c r="B70" s="6">
        <v>1937</v>
      </c>
      <c r="C70" s="7">
        <v>11.747999999999999</v>
      </c>
      <c r="D70" s="7">
        <v>4.3949999999999996</v>
      </c>
      <c r="E70" s="7">
        <v>1.2999999999999999E-2</v>
      </c>
      <c r="F70" s="7">
        <v>2.5000000000000001E-2</v>
      </c>
      <c r="H70" s="6">
        <v>1937</v>
      </c>
      <c r="I70" s="7">
        <v>10.516</v>
      </c>
      <c r="J70" s="7">
        <v>3.9340000000000002</v>
      </c>
      <c r="K70" s="7">
        <v>1.4999999999999999E-2</v>
      </c>
      <c r="L70" s="7">
        <v>2.5000000000000001E-2</v>
      </c>
      <c r="N70" s="13"/>
      <c r="Q70" s="12"/>
    </row>
    <row r="71" spans="1:17" ht="16" thickBot="1">
      <c r="A71">
        <v>64</v>
      </c>
      <c r="B71" s="6">
        <v>1936</v>
      </c>
      <c r="C71" s="7">
        <v>13.045</v>
      </c>
      <c r="D71" s="7">
        <v>4.8280000000000003</v>
      </c>
      <c r="E71" s="7">
        <v>1.2999999999999999E-2</v>
      </c>
      <c r="F71" s="7">
        <v>2.5000000000000001E-2</v>
      </c>
      <c r="H71" s="6">
        <v>1936</v>
      </c>
      <c r="I71" s="7">
        <v>11.676</v>
      </c>
      <c r="J71" s="7">
        <v>4.3220000000000001</v>
      </c>
      <c r="K71" s="7">
        <v>1.4999999999999999E-2</v>
      </c>
      <c r="L71" s="7">
        <v>2.5000000000000001E-2</v>
      </c>
      <c r="N71" s="13"/>
      <c r="Q71" s="12"/>
    </row>
    <row r="72" spans="1:17" ht="16" thickBot="1">
      <c r="A72">
        <v>65</v>
      </c>
      <c r="B72" s="6">
        <v>1935</v>
      </c>
      <c r="C72" s="7">
        <v>14.532999999999999</v>
      </c>
      <c r="D72" s="7">
        <v>5.4509999999999996</v>
      </c>
      <c r="E72" s="7">
        <v>1.2999999999999999E-2</v>
      </c>
      <c r="F72" s="7">
        <v>2.5000000000000001E-2</v>
      </c>
      <c r="H72" s="6">
        <v>1935</v>
      </c>
      <c r="I72" s="7">
        <v>13.03</v>
      </c>
      <c r="J72" s="7">
        <v>4.8869999999999996</v>
      </c>
      <c r="K72" s="7">
        <v>1.4999999999999999E-2</v>
      </c>
      <c r="L72" s="7">
        <v>2.5000000000000001E-2</v>
      </c>
      <c r="N72" s="13"/>
      <c r="Q72" s="12"/>
    </row>
    <row r="73" spans="1:17" ht="16" thickBot="1">
      <c r="A73">
        <v>66</v>
      </c>
      <c r="B73" s="6">
        <v>1934</v>
      </c>
      <c r="C73" s="7">
        <v>15.69</v>
      </c>
      <c r="D73" s="7">
        <v>6.0529999999999999</v>
      </c>
      <c r="E73" s="7">
        <v>1.2999999999999999E-2</v>
      </c>
      <c r="F73" s="7">
        <v>2.5000000000000001E-2</v>
      </c>
      <c r="H73" s="6">
        <v>1934</v>
      </c>
      <c r="I73" s="7">
        <v>14.067</v>
      </c>
      <c r="J73" s="7">
        <v>5.4269999999999996</v>
      </c>
      <c r="K73" s="7">
        <v>1.4999999999999999E-2</v>
      </c>
      <c r="L73" s="7">
        <v>2.5000000000000001E-2</v>
      </c>
      <c r="N73" s="13"/>
      <c r="Q73" s="12"/>
    </row>
    <row r="74" spans="1:17" ht="16" thickBot="1">
      <c r="A74">
        <v>67</v>
      </c>
      <c r="B74" s="6">
        <v>1933</v>
      </c>
      <c r="C74" s="7">
        <v>17.221</v>
      </c>
      <c r="D74" s="7">
        <v>6.6980000000000004</v>
      </c>
      <c r="E74" s="7">
        <v>1.2999999999999999E-2</v>
      </c>
      <c r="F74" s="7">
        <v>2.5000000000000001E-2</v>
      </c>
      <c r="H74" s="6">
        <v>1933</v>
      </c>
      <c r="I74" s="7">
        <v>15.44</v>
      </c>
      <c r="J74" s="7">
        <v>6.0049999999999999</v>
      </c>
      <c r="K74" s="7">
        <v>1.4999999999999999E-2</v>
      </c>
      <c r="L74" s="7">
        <v>2.5000000000000001E-2</v>
      </c>
      <c r="N74" s="13"/>
      <c r="Q74" s="12"/>
    </row>
    <row r="75" spans="1:17" ht="16" thickBot="1">
      <c r="A75">
        <v>68</v>
      </c>
      <c r="B75" s="6">
        <v>1932</v>
      </c>
      <c r="C75" s="7">
        <v>18.968</v>
      </c>
      <c r="D75" s="7">
        <v>7.4329999999999998</v>
      </c>
      <c r="E75" s="7">
        <v>1.2999999999999999E-2</v>
      </c>
      <c r="F75" s="7">
        <v>2.5000000000000001E-2</v>
      </c>
      <c r="H75" s="6">
        <v>1932</v>
      </c>
      <c r="I75" s="7">
        <v>17.004999999999999</v>
      </c>
      <c r="J75" s="7">
        <v>6.6639999999999997</v>
      </c>
      <c r="K75" s="7">
        <v>1.4999999999999999E-2</v>
      </c>
      <c r="L75" s="7">
        <v>2.5000000000000001E-2</v>
      </c>
      <c r="N75" s="13"/>
      <c r="Q75" s="12"/>
    </row>
    <row r="76" spans="1:17" ht="16" thickBot="1">
      <c r="A76">
        <v>69</v>
      </c>
      <c r="B76" s="6">
        <v>1931</v>
      </c>
      <c r="C76" s="7">
        <v>20.645</v>
      </c>
      <c r="D76" s="7">
        <v>8.4030000000000005</v>
      </c>
      <c r="E76" s="7">
        <v>1.2999999999999999E-2</v>
      </c>
      <c r="F76" s="7">
        <v>2.5000000000000001E-2</v>
      </c>
      <c r="H76" s="6">
        <v>1931</v>
      </c>
      <c r="I76" s="7">
        <v>18.509</v>
      </c>
      <c r="J76" s="7">
        <v>7.5330000000000004</v>
      </c>
      <c r="K76" s="7">
        <v>1.4999999999999999E-2</v>
      </c>
      <c r="L76" s="7">
        <v>2.5000000000000001E-2</v>
      </c>
      <c r="N76" s="13"/>
      <c r="Q76" s="12"/>
    </row>
    <row r="77" spans="1:17" ht="16" thickBot="1">
      <c r="A77">
        <v>70</v>
      </c>
      <c r="B77" s="6">
        <v>1930</v>
      </c>
      <c r="C77" s="7">
        <v>22.27</v>
      </c>
      <c r="D77" s="7">
        <v>9.33</v>
      </c>
      <c r="E77" s="7">
        <v>1.2999999999999999E-2</v>
      </c>
      <c r="F77" s="7">
        <v>2.5000000000000001E-2</v>
      </c>
      <c r="H77" s="6">
        <v>1930</v>
      </c>
      <c r="I77" s="7">
        <v>19.978000000000002</v>
      </c>
      <c r="J77" s="7">
        <v>8.3699999999999992</v>
      </c>
      <c r="K77" s="7">
        <v>1.4999999999999999E-2</v>
      </c>
      <c r="L77" s="7">
        <v>2.5000000000000001E-2</v>
      </c>
      <c r="N77" s="13"/>
      <c r="Q77" s="12"/>
    </row>
    <row r="78" spans="1:17" ht="16" thickBot="1">
      <c r="A78">
        <v>71</v>
      </c>
      <c r="B78" s="8">
        <v>1929</v>
      </c>
      <c r="C78" s="9">
        <v>24.428999999999998</v>
      </c>
      <c r="D78" s="9">
        <v>10.683999999999999</v>
      </c>
      <c r="E78" s="9">
        <v>1.2999999999999999E-2</v>
      </c>
      <c r="F78" s="9">
        <v>2.5000000000000001E-2</v>
      </c>
      <c r="H78" s="6">
        <v>1929</v>
      </c>
      <c r="I78" s="7">
        <v>21.914999999999999</v>
      </c>
      <c r="J78" s="7">
        <v>9.5839999999999996</v>
      </c>
      <c r="K78" s="7">
        <v>1.4999999999999999E-2</v>
      </c>
      <c r="L78" s="7">
        <v>2.5000000000000001E-2</v>
      </c>
      <c r="N78" s="13"/>
      <c r="Q78" s="12"/>
    </row>
    <row r="79" spans="1:17" ht="16" thickBot="1">
      <c r="A79">
        <v>72</v>
      </c>
      <c r="B79" s="6">
        <v>1928</v>
      </c>
      <c r="C79" s="7">
        <v>27.259</v>
      </c>
      <c r="D79" s="7">
        <v>12.013</v>
      </c>
      <c r="E79" s="7">
        <v>1.2999999999999999E-2</v>
      </c>
      <c r="F79" s="7">
        <v>2.5000000000000001E-2</v>
      </c>
      <c r="H79" s="8">
        <v>1928</v>
      </c>
      <c r="I79" s="9">
        <v>24.454000000000001</v>
      </c>
      <c r="J79" s="9">
        <v>10.776999999999999</v>
      </c>
      <c r="K79" s="9">
        <v>1.4999999999999999E-2</v>
      </c>
      <c r="L79" s="9">
        <v>2.5000000000000001E-2</v>
      </c>
      <c r="N79" s="13"/>
      <c r="Q79" s="12"/>
    </row>
    <row r="80" spans="1:17" ht="16" thickBot="1">
      <c r="A80">
        <v>73</v>
      </c>
      <c r="B80" s="6">
        <v>1927</v>
      </c>
      <c r="C80" s="7">
        <v>30.295999999999999</v>
      </c>
      <c r="D80" s="7">
        <v>13.893000000000001</v>
      </c>
      <c r="E80" s="7">
        <v>1.2999999999999999E-2</v>
      </c>
      <c r="F80" s="7">
        <v>2.5000000000000001E-2</v>
      </c>
      <c r="H80" s="6">
        <v>1927</v>
      </c>
      <c r="I80" s="7">
        <v>27.178999999999998</v>
      </c>
      <c r="J80" s="7">
        <v>12.462999999999999</v>
      </c>
      <c r="K80" s="7">
        <v>1.4999999999999999E-2</v>
      </c>
      <c r="L80" s="7">
        <v>2.5000000000000001E-2</v>
      </c>
      <c r="N80" s="13"/>
      <c r="Q80" s="12"/>
    </row>
    <row r="81" spans="1:17" ht="16" thickBot="1">
      <c r="A81">
        <v>74</v>
      </c>
      <c r="B81" s="6">
        <v>1926</v>
      </c>
      <c r="C81" s="7">
        <v>33.69</v>
      </c>
      <c r="D81" s="7">
        <v>15.897</v>
      </c>
      <c r="E81" s="7">
        <v>1.2699999999999999E-2</v>
      </c>
      <c r="F81" s="7">
        <v>2.4E-2</v>
      </c>
      <c r="H81" s="6">
        <v>1926</v>
      </c>
      <c r="I81" s="7">
        <v>30.224</v>
      </c>
      <c r="J81" s="7">
        <v>14.262</v>
      </c>
      <c r="K81" s="7">
        <v>1.4999999999999999E-2</v>
      </c>
      <c r="L81" s="7">
        <v>2.5000000000000001E-2</v>
      </c>
      <c r="N81" s="13"/>
      <c r="Q81" s="12"/>
    </row>
    <row r="82" spans="1:17" ht="16" thickBot="1">
      <c r="A82">
        <v>75</v>
      </c>
      <c r="B82" s="6">
        <v>1925</v>
      </c>
      <c r="C82" s="7">
        <v>37.286000000000001</v>
      </c>
      <c r="D82" s="7">
        <v>18.248999999999999</v>
      </c>
      <c r="E82" s="7">
        <v>1.24E-2</v>
      </c>
      <c r="F82" s="7">
        <v>2.3E-2</v>
      </c>
      <c r="H82" s="6">
        <v>1925</v>
      </c>
      <c r="I82" s="7">
        <v>33.450000000000003</v>
      </c>
      <c r="J82" s="7">
        <v>16.372</v>
      </c>
      <c r="K82" s="7">
        <v>1.4999999999999999E-2</v>
      </c>
      <c r="L82" s="7">
        <v>2.5000000000000001E-2</v>
      </c>
      <c r="N82" s="13"/>
      <c r="Q82" s="12"/>
    </row>
    <row r="83" spans="1:17" ht="16" thickBot="1">
      <c r="A83">
        <v>76</v>
      </c>
      <c r="B83" s="6">
        <v>1924</v>
      </c>
      <c r="C83" s="7">
        <v>40.933999999999997</v>
      </c>
      <c r="D83" s="7">
        <v>21.048999999999999</v>
      </c>
      <c r="E83" s="7">
        <v>1.21E-2</v>
      </c>
      <c r="F83" s="7">
        <v>2.1999999999999999E-2</v>
      </c>
      <c r="H83" s="6">
        <v>1924</v>
      </c>
      <c r="I83" s="7">
        <v>36.722000000000001</v>
      </c>
      <c r="J83" s="7">
        <v>18.882999999999999</v>
      </c>
      <c r="K83" s="7">
        <v>1.4999999999999999E-2</v>
      </c>
      <c r="L83" s="7">
        <v>2.5000000000000001E-2</v>
      </c>
      <c r="N83" s="13"/>
      <c r="Q83" s="12"/>
    </row>
    <row r="84" spans="1:17" ht="16" thickBot="1">
      <c r="A84">
        <v>77</v>
      </c>
      <c r="B84" s="6">
        <v>1923</v>
      </c>
      <c r="C84" s="7">
        <v>44.856999999999999</v>
      </c>
      <c r="D84" s="7">
        <v>24.341000000000001</v>
      </c>
      <c r="E84" s="7">
        <v>1.18E-2</v>
      </c>
      <c r="F84" s="7">
        <v>2.1000000000000001E-2</v>
      </c>
      <c r="H84" s="6">
        <v>1923</v>
      </c>
      <c r="I84" s="7">
        <v>40.241999999999997</v>
      </c>
      <c r="J84" s="7">
        <v>21.837</v>
      </c>
      <c r="K84" s="7">
        <v>1.4999999999999999E-2</v>
      </c>
      <c r="L84" s="7">
        <v>2.5000000000000001E-2</v>
      </c>
      <c r="N84" s="13"/>
      <c r="Q84" s="12"/>
    </row>
    <row r="85" spans="1:17" ht="16" thickBot="1">
      <c r="A85">
        <v>78</v>
      </c>
      <c r="B85" s="6">
        <v>1922</v>
      </c>
      <c r="C85" s="7">
        <v>49.256</v>
      </c>
      <c r="D85" s="7">
        <v>27.849</v>
      </c>
      <c r="E85" s="7">
        <v>1.15E-2</v>
      </c>
      <c r="F85" s="7">
        <v>0.02</v>
      </c>
      <c r="H85" s="6">
        <v>1922</v>
      </c>
      <c r="I85" s="7">
        <v>44.188000000000002</v>
      </c>
      <c r="J85" s="7">
        <v>24.984000000000002</v>
      </c>
      <c r="K85" s="7">
        <v>1.4999999999999999E-2</v>
      </c>
      <c r="L85" s="7">
        <v>2.5000000000000001E-2</v>
      </c>
      <c r="N85" s="13"/>
      <c r="Q85" s="12"/>
    </row>
    <row r="86" spans="1:17" ht="16" thickBot="1">
      <c r="A86">
        <v>79</v>
      </c>
      <c r="B86" s="6">
        <v>1921</v>
      </c>
      <c r="C86" s="7">
        <v>54.411000000000001</v>
      </c>
      <c r="D86" s="7">
        <v>32.055999999999997</v>
      </c>
      <c r="E86" s="7">
        <v>1.12E-2</v>
      </c>
      <c r="F86" s="7">
        <v>1.9E-2</v>
      </c>
      <c r="H86" s="6">
        <v>1921</v>
      </c>
      <c r="I86" s="7">
        <v>48.813000000000002</v>
      </c>
      <c r="J86" s="7">
        <v>28.757999999999999</v>
      </c>
      <c r="K86" s="7">
        <v>1.4999999999999999E-2</v>
      </c>
      <c r="L86" s="7">
        <v>2.5000000000000001E-2</v>
      </c>
      <c r="N86" s="13"/>
      <c r="Q86" s="12"/>
    </row>
    <row r="87" spans="1:17" ht="16" thickBot="1">
      <c r="A87">
        <v>80</v>
      </c>
      <c r="B87" s="6">
        <v>1920</v>
      </c>
      <c r="C87" s="7">
        <v>59.677999999999997</v>
      </c>
      <c r="D87" s="7">
        <v>37.497999999999998</v>
      </c>
      <c r="E87" s="7">
        <v>1.09E-2</v>
      </c>
      <c r="F87" s="7">
        <v>1.7999999999999999E-2</v>
      </c>
      <c r="H87" s="6">
        <v>1920</v>
      </c>
      <c r="I87" s="7">
        <v>53.537999999999997</v>
      </c>
      <c r="J87" s="7">
        <v>33.64</v>
      </c>
      <c r="K87" s="7">
        <v>1.4999999999999999E-2</v>
      </c>
      <c r="L87" s="7">
        <v>2.5000000000000001E-2</v>
      </c>
      <c r="N87" s="13"/>
      <c r="Q87" s="12"/>
    </row>
    <row r="88" spans="1:17" ht="16" thickBot="1">
      <c r="A88">
        <v>81</v>
      </c>
      <c r="B88" s="6">
        <v>1919</v>
      </c>
      <c r="C88" s="7">
        <v>66.055999999999997</v>
      </c>
      <c r="D88" s="7">
        <v>43.054000000000002</v>
      </c>
      <c r="E88" s="7">
        <v>1.06E-2</v>
      </c>
      <c r="F88" s="7">
        <v>1.7000000000000001E-2</v>
      </c>
      <c r="H88" s="6">
        <v>1919</v>
      </c>
      <c r="I88" s="7">
        <v>59.26</v>
      </c>
      <c r="J88" s="7">
        <v>38.624000000000002</v>
      </c>
      <c r="K88" s="7">
        <v>1.4999999999999999E-2</v>
      </c>
      <c r="L88" s="7">
        <v>2.4E-2</v>
      </c>
      <c r="N88" s="13"/>
      <c r="Q88" s="12"/>
    </row>
    <row r="89" spans="1:17" ht="16" thickBot="1">
      <c r="A89">
        <v>82</v>
      </c>
      <c r="B89" s="6">
        <v>1918</v>
      </c>
      <c r="C89" s="7">
        <v>72.769000000000005</v>
      </c>
      <c r="D89" s="7">
        <v>48.1</v>
      </c>
      <c r="E89" s="7">
        <v>1.03E-2</v>
      </c>
      <c r="F89" s="7">
        <v>1.6E-2</v>
      </c>
      <c r="H89" s="6">
        <v>1918</v>
      </c>
      <c r="I89" s="7">
        <v>65.281999999999996</v>
      </c>
      <c r="J89" s="7">
        <v>43.151000000000003</v>
      </c>
      <c r="K89" s="7">
        <v>1.4999999999999999E-2</v>
      </c>
      <c r="L89" s="7">
        <v>2.3E-2</v>
      </c>
      <c r="N89" s="13"/>
      <c r="Q89" s="12"/>
    </row>
    <row r="90" spans="1:17" ht="16" thickBot="1">
      <c r="A90">
        <v>83</v>
      </c>
      <c r="B90" s="6">
        <v>1917</v>
      </c>
      <c r="C90" s="7">
        <v>78.956999999999994</v>
      </c>
      <c r="D90" s="7">
        <v>54.719000000000001</v>
      </c>
      <c r="E90" s="7">
        <v>0.01</v>
      </c>
      <c r="F90" s="7">
        <v>1.4999999999999999E-2</v>
      </c>
      <c r="H90" s="6">
        <v>1917</v>
      </c>
      <c r="I90" s="7">
        <v>70.832999999999998</v>
      </c>
      <c r="J90" s="7">
        <v>49.088999999999999</v>
      </c>
      <c r="K90" s="7">
        <v>1.4999999999999999E-2</v>
      </c>
      <c r="L90" s="7">
        <v>2.1999999999999999E-2</v>
      </c>
      <c r="N90" s="13"/>
      <c r="Q90" s="12"/>
    </row>
    <row r="91" spans="1:17" ht="16" thickBot="1">
      <c r="A91">
        <v>84</v>
      </c>
      <c r="B91" s="6">
        <v>1916</v>
      </c>
      <c r="C91" s="7">
        <v>84.61</v>
      </c>
      <c r="D91" s="7">
        <v>62.984000000000002</v>
      </c>
      <c r="E91" s="7">
        <v>0.01</v>
      </c>
      <c r="F91" s="7">
        <v>1.4E-2</v>
      </c>
      <c r="H91" s="6">
        <v>1916</v>
      </c>
      <c r="I91" s="7">
        <v>75.905000000000001</v>
      </c>
      <c r="J91" s="7">
        <v>56.503999999999998</v>
      </c>
      <c r="K91" s="7">
        <v>1.4999999999999999E-2</v>
      </c>
      <c r="L91" s="7">
        <v>2.1000000000000001E-2</v>
      </c>
      <c r="N91" s="13"/>
      <c r="Q91" s="12"/>
    </row>
    <row r="92" spans="1:17" ht="16" thickBot="1">
      <c r="A92">
        <v>85</v>
      </c>
      <c r="B92" s="6">
        <v>1915</v>
      </c>
      <c r="C92" s="7">
        <v>92.858999999999995</v>
      </c>
      <c r="D92" s="7">
        <v>71.238</v>
      </c>
      <c r="E92" s="7">
        <v>0.01</v>
      </c>
      <c r="F92" s="7">
        <v>1.2999999999999999E-2</v>
      </c>
      <c r="H92" s="6">
        <v>1915</v>
      </c>
      <c r="I92" s="7">
        <v>83.305000000000007</v>
      </c>
      <c r="J92" s="7">
        <v>63.908000000000001</v>
      </c>
      <c r="K92" s="7">
        <v>1.4999999999999999E-2</v>
      </c>
      <c r="L92" s="7">
        <v>0.02</v>
      </c>
      <c r="N92" s="13"/>
      <c r="Q92" s="12"/>
    </row>
    <row r="93" spans="1:17" ht="16" thickBot="1">
      <c r="A93">
        <v>86</v>
      </c>
      <c r="B93" s="6">
        <v>1914</v>
      </c>
      <c r="C93" s="7">
        <v>102.503</v>
      </c>
      <c r="D93" s="7">
        <v>79.091999999999999</v>
      </c>
      <c r="E93" s="7">
        <v>0.01</v>
      </c>
      <c r="F93" s="7">
        <v>1.2E-2</v>
      </c>
      <c r="H93" s="6">
        <v>1914</v>
      </c>
      <c r="I93" s="7">
        <v>91.956000000000003</v>
      </c>
      <c r="J93" s="7">
        <v>70.954999999999998</v>
      </c>
      <c r="K93" s="7">
        <v>1.4999999999999999E-2</v>
      </c>
      <c r="L93" s="7">
        <v>1.9E-2</v>
      </c>
      <c r="N93" s="13"/>
      <c r="Q93" s="12"/>
    </row>
    <row r="94" spans="1:17" ht="16" thickBot="1">
      <c r="A94">
        <v>87</v>
      </c>
      <c r="B94" s="6">
        <v>1913</v>
      </c>
      <c r="C94" s="7">
        <v>110.684</v>
      </c>
      <c r="D94" s="7">
        <v>88.703999999999994</v>
      </c>
      <c r="E94" s="7">
        <v>0.01</v>
      </c>
      <c r="F94" s="7">
        <v>1.0999999999999999E-2</v>
      </c>
      <c r="H94" s="6">
        <v>1913</v>
      </c>
      <c r="I94" s="7">
        <v>99.296000000000006</v>
      </c>
      <c r="J94" s="7">
        <v>79.576999999999998</v>
      </c>
      <c r="K94" s="7">
        <v>1.4999999999999999E-2</v>
      </c>
      <c r="L94" s="7">
        <v>1.7999999999999999E-2</v>
      </c>
      <c r="N94" s="13"/>
      <c r="Q94" s="12"/>
    </row>
    <row r="95" spans="1:17" ht="16" thickBot="1">
      <c r="A95">
        <v>88</v>
      </c>
      <c r="B95" s="6">
        <v>1912</v>
      </c>
      <c r="C95" s="7">
        <v>120.76300000000001</v>
      </c>
      <c r="D95" s="7">
        <v>98.128</v>
      </c>
      <c r="E95" s="7">
        <v>0.01</v>
      </c>
      <c r="F95" s="7">
        <v>0.01</v>
      </c>
      <c r="H95" s="6">
        <v>1912</v>
      </c>
      <c r="I95" s="7">
        <v>108.33799999999999</v>
      </c>
      <c r="J95" s="7">
        <v>88.031000000000006</v>
      </c>
      <c r="K95" s="7">
        <v>1.4999999999999999E-2</v>
      </c>
      <c r="L95" s="7">
        <v>1.7000000000000001E-2</v>
      </c>
      <c r="N95" s="13"/>
      <c r="Q95" s="12"/>
    </row>
    <row r="96" spans="1:17" ht="16" thickBot="1">
      <c r="A96">
        <v>89</v>
      </c>
      <c r="B96" s="6">
        <v>1911</v>
      </c>
      <c r="C96" s="7">
        <v>132.697</v>
      </c>
      <c r="D96" s="7">
        <v>109.289</v>
      </c>
      <c r="E96" s="7">
        <v>0.01</v>
      </c>
      <c r="F96" s="7">
        <v>0.01</v>
      </c>
      <c r="H96" s="6">
        <v>1911</v>
      </c>
      <c r="I96" s="7">
        <v>119.04300000000001</v>
      </c>
      <c r="J96" s="7">
        <v>98.045000000000002</v>
      </c>
      <c r="K96" s="7">
        <v>1.4999999999999999E-2</v>
      </c>
      <c r="L96" s="7">
        <v>1.6E-2</v>
      </c>
      <c r="N96" s="13"/>
      <c r="Q96" s="12"/>
    </row>
    <row r="97" spans="1:17" ht="16" thickBot="1">
      <c r="A97">
        <v>90</v>
      </c>
      <c r="B97" s="6">
        <v>1910</v>
      </c>
      <c r="C97" s="7">
        <v>145.57499999999999</v>
      </c>
      <c r="D97" s="7">
        <v>121.86799999999999</v>
      </c>
      <c r="E97" s="7">
        <v>0.01</v>
      </c>
      <c r="F97" s="7">
        <v>8.9999999999999993E-3</v>
      </c>
      <c r="H97" s="6">
        <v>1910</v>
      </c>
      <c r="I97" s="7">
        <v>130.59700000000001</v>
      </c>
      <c r="J97" s="7">
        <v>109.32899999999999</v>
      </c>
      <c r="K97" s="7">
        <v>1.4999999999999999E-2</v>
      </c>
      <c r="L97" s="7">
        <v>1.4999999999999999E-2</v>
      </c>
      <c r="N97" s="13"/>
      <c r="Q97" s="12"/>
    </row>
    <row r="98" spans="1:17" ht="16" thickBot="1">
      <c r="A98">
        <v>91</v>
      </c>
      <c r="B98" s="6">
        <v>1909</v>
      </c>
      <c r="C98" s="7">
        <v>158.96600000000001</v>
      </c>
      <c r="D98" s="7">
        <v>135.53899999999999</v>
      </c>
      <c r="E98" s="7">
        <v>0.01</v>
      </c>
      <c r="F98" s="7">
        <v>8.0000000000000002E-3</v>
      </c>
      <c r="H98" s="6">
        <v>1909</v>
      </c>
      <c r="I98" s="7">
        <v>142.61000000000001</v>
      </c>
      <c r="J98" s="7">
        <v>121.59399999999999</v>
      </c>
      <c r="K98" s="7">
        <v>1.4999999999999999E-2</v>
      </c>
      <c r="L98" s="7">
        <v>1.4999999999999999E-2</v>
      </c>
      <c r="N98" s="13"/>
      <c r="Q98" s="12"/>
    </row>
    <row r="99" spans="1:17" ht="16" thickBot="1">
      <c r="A99">
        <v>92</v>
      </c>
      <c r="B99" s="6">
        <v>1908</v>
      </c>
      <c r="C99" s="7">
        <v>174.31299999999999</v>
      </c>
      <c r="D99" s="7">
        <v>150.14699999999999</v>
      </c>
      <c r="E99" s="7">
        <v>8.9999999999999993E-3</v>
      </c>
      <c r="F99" s="7">
        <v>7.0000000000000001E-3</v>
      </c>
      <c r="H99" s="6">
        <v>1908</v>
      </c>
      <c r="I99" s="7">
        <v>156.37799999999999</v>
      </c>
      <c r="J99" s="7">
        <v>134.69900000000001</v>
      </c>
      <c r="K99" s="7">
        <v>1.35E-2</v>
      </c>
      <c r="L99" s="7">
        <v>1.35E-2</v>
      </c>
      <c r="N99" s="13"/>
      <c r="Q99" s="12"/>
    </row>
    <row r="100" spans="1:17" ht="16" thickBot="1">
      <c r="A100">
        <v>93</v>
      </c>
      <c r="B100" s="6">
        <v>1907</v>
      </c>
      <c r="C100" s="7">
        <v>189.886</v>
      </c>
      <c r="D100" s="7">
        <v>165.61199999999999</v>
      </c>
      <c r="E100" s="7">
        <v>8.0000000000000002E-3</v>
      </c>
      <c r="F100" s="7">
        <v>6.0000000000000001E-3</v>
      </c>
      <c r="H100" s="6">
        <v>1907</v>
      </c>
      <c r="I100" s="7">
        <v>170.34800000000001</v>
      </c>
      <c r="J100" s="7">
        <v>148.572</v>
      </c>
      <c r="K100" s="7">
        <v>1.2E-2</v>
      </c>
      <c r="L100" s="7">
        <v>1.2E-2</v>
      </c>
      <c r="N100" s="13"/>
      <c r="Q100" s="12"/>
    </row>
    <row r="101" spans="1:17" ht="16" thickBot="1">
      <c r="A101">
        <v>94</v>
      </c>
      <c r="B101" s="6">
        <v>1906</v>
      </c>
      <c r="C101" s="7">
        <v>206.827</v>
      </c>
      <c r="D101" s="7">
        <v>183.67099999999999</v>
      </c>
      <c r="E101" s="7">
        <v>7.0000000000000001E-3</v>
      </c>
      <c r="F101" s="7">
        <v>5.0000000000000001E-3</v>
      </c>
      <c r="H101" s="6">
        <v>1906</v>
      </c>
      <c r="I101" s="7">
        <v>185.547</v>
      </c>
      <c r="J101" s="7">
        <v>164.773</v>
      </c>
      <c r="K101" s="7">
        <v>1.0500000000000001E-2</v>
      </c>
      <c r="L101" s="7">
        <v>1.0500000000000001E-2</v>
      </c>
      <c r="N101" s="13"/>
      <c r="Q101" s="12"/>
    </row>
    <row r="102" spans="1:17" ht="16" thickBot="1">
      <c r="A102">
        <v>95</v>
      </c>
      <c r="B102" s="6">
        <v>1905</v>
      </c>
      <c r="C102" s="7">
        <v>223.02600000000001</v>
      </c>
      <c r="D102" s="7">
        <v>202.81</v>
      </c>
      <c r="E102" s="7">
        <v>6.0000000000000001E-3</v>
      </c>
      <c r="F102" s="7">
        <v>4.0000000000000001E-3</v>
      </c>
      <c r="H102" s="6">
        <v>1905</v>
      </c>
      <c r="I102" s="7">
        <v>200.07900000000001</v>
      </c>
      <c r="J102" s="7">
        <v>181.94300000000001</v>
      </c>
      <c r="K102" s="7">
        <v>8.9999999999999993E-3</v>
      </c>
      <c r="L102" s="7">
        <v>8.9999999999999993E-3</v>
      </c>
      <c r="N102" s="13"/>
      <c r="Q102" s="12"/>
    </row>
    <row r="103" spans="1:17" ht="16" thickBot="1">
      <c r="A103">
        <v>96</v>
      </c>
      <c r="B103" s="6">
        <v>1904</v>
      </c>
      <c r="C103" s="7">
        <v>240.49299999999999</v>
      </c>
      <c r="D103" s="7">
        <v>223.01</v>
      </c>
      <c r="E103" s="7">
        <v>5.0000000000000001E-3</v>
      </c>
      <c r="F103" s="7">
        <v>3.0000000000000001E-3</v>
      </c>
      <c r="H103" s="6">
        <v>1904</v>
      </c>
      <c r="I103" s="7">
        <v>215.749</v>
      </c>
      <c r="J103" s="7">
        <v>200.065</v>
      </c>
      <c r="K103" s="7">
        <v>7.4999999999999997E-3</v>
      </c>
      <c r="L103" s="7">
        <v>7.4999999999999997E-3</v>
      </c>
      <c r="N103" s="13"/>
      <c r="Q103" s="12"/>
    </row>
    <row r="104" spans="1:17" ht="16" thickBot="1">
      <c r="A104">
        <v>97</v>
      </c>
      <c r="B104" s="6">
        <v>1903</v>
      </c>
      <c r="C104" s="7">
        <v>259.327</v>
      </c>
      <c r="D104" s="7">
        <v>244.25200000000001</v>
      </c>
      <c r="E104" s="7">
        <v>4.0000000000000001E-3</v>
      </c>
      <c r="F104" s="7">
        <v>2E-3</v>
      </c>
      <c r="H104" s="6">
        <v>1903</v>
      </c>
      <c r="I104" s="7">
        <v>232.64400000000001</v>
      </c>
      <c r="J104" s="7">
        <v>219.12100000000001</v>
      </c>
      <c r="K104" s="7">
        <v>6.0000000000000001E-3</v>
      </c>
      <c r="L104" s="7">
        <v>6.0000000000000001E-3</v>
      </c>
      <c r="N104" s="13"/>
      <c r="Q104" s="12"/>
    </row>
    <row r="105" spans="1:17" ht="16" thickBot="1">
      <c r="A105">
        <v>98</v>
      </c>
      <c r="B105" s="6">
        <v>1902</v>
      </c>
      <c r="C105" s="7">
        <v>279.63400000000001</v>
      </c>
      <c r="D105" s="7">
        <v>266.51</v>
      </c>
      <c r="E105" s="7">
        <v>3.0000000000000001E-3</v>
      </c>
      <c r="F105" s="7">
        <v>1E-3</v>
      </c>
      <c r="H105" s="6">
        <v>1902</v>
      </c>
      <c r="I105" s="7">
        <v>250.86199999999999</v>
      </c>
      <c r="J105" s="7">
        <v>239.089</v>
      </c>
      <c r="K105" s="7">
        <v>4.4999999999999997E-3</v>
      </c>
      <c r="L105" s="7">
        <v>4.4999999999999997E-3</v>
      </c>
      <c r="N105" s="13"/>
      <c r="Q105" s="12"/>
    </row>
    <row r="106" spans="1:17" ht="16" thickBot="1">
      <c r="A106">
        <v>99</v>
      </c>
      <c r="B106" s="6">
        <v>1901</v>
      </c>
      <c r="C106" s="7">
        <v>302.16199999999998</v>
      </c>
      <c r="D106" s="7">
        <v>290.36900000000003</v>
      </c>
      <c r="E106" s="7">
        <v>2E-3</v>
      </c>
      <c r="F106" s="7">
        <v>0</v>
      </c>
      <c r="H106" s="6">
        <v>1901</v>
      </c>
      <c r="I106" s="7">
        <v>271.072</v>
      </c>
      <c r="J106" s="7">
        <v>260.49299999999999</v>
      </c>
      <c r="K106" s="7">
        <v>3.0000000000000001E-3</v>
      </c>
      <c r="L106" s="7">
        <v>3.0000000000000001E-3</v>
      </c>
      <c r="N106" s="13"/>
      <c r="Q106" s="12"/>
    </row>
    <row r="107" spans="1:17" ht="16" thickBot="1">
      <c r="A107">
        <v>100</v>
      </c>
      <c r="B107" s="6">
        <v>1900</v>
      </c>
      <c r="C107" s="7">
        <v>326.505</v>
      </c>
      <c r="D107" s="7">
        <v>312.166</v>
      </c>
      <c r="E107" s="7">
        <v>1E-3</v>
      </c>
      <c r="F107" s="7">
        <v>0</v>
      </c>
      <c r="H107" s="6">
        <v>1900</v>
      </c>
      <c r="I107" s="7">
        <v>292.911</v>
      </c>
      <c r="J107" s="7">
        <v>280.04700000000003</v>
      </c>
      <c r="K107" s="7">
        <v>1.5E-3</v>
      </c>
      <c r="L107" s="7">
        <v>1.5E-3</v>
      </c>
      <c r="N107" s="13"/>
      <c r="Q107" s="12"/>
    </row>
    <row r="108" spans="1:17" ht="16" thickBot="1">
      <c r="A108">
        <v>101</v>
      </c>
      <c r="B108" s="6">
        <v>1899</v>
      </c>
      <c r="C108" s="7">
        <v>361.19</v>
      </c>
      <c r="D108" s="7">
        <v>342.48899999999998</v>
      </c>
      <c r="E108" s="7">
        <v>0</v>
      </c>
      <c r="F108" s="7">
        <v>0</v>
      </c>
      <c r="H108" s="6">
        <v>1899</v>
      </c>
      <c r="I108" s="7">
        <v>324.89</v>
      </c>
      <c r="J108" s="7">
        <v>308.06799999999998</v>
      </c>
      <c r="K108" s="7">
        <v>0</v>
      </c>
      <c r="L108" s="7">
        <v>0</v>
      </c>
      <c r="N108" s="13"/>
      <c r="Q108" s="12"/>
    </row>
    <row r="109" spans="1:17" ht="16" thickBot="1">
      <c r="A109">
        <v>102</v>
      </c>
      <c r="B109" s="6">
        <v>1898</v>
      </c>
      <c r="C109" s="7">
        <v>386.40499999999997</v>
      </c>
      <c r="D109" s="7">
        <v>365.95600000000002</v>
      </c>
      <c r="E109" s="7">
        <v>0</v>
      </c>
      <c r="F109" s="7">
        <v>0</v>
      </c>
      <c r="H109" s="6">
        <v>1898</v>
      </c>
      <c r="I109" s="7">
        <v>347.57</v>
      </c>
      <c r="J109" s="7">
        <v>329.17599999999999</v>
      </c>
      <c r="K109" s="7">
        <v>0</v>
      </c>
      <c r="L109" s="7">
        <v>0</v>
      </c>
      <c r="N109" s="13"/>
      <c r="Q109" s="12"/>
    </row>
    <row r="110" spans="1:17" ht="16" thickBot="1">
      <c r="A110">
        <v>103</v>
      </c>
      <c r="B110" s="6">
        <v>1897</v>
      </c>
      <c r="C110" s="7">
        <v>413.38</v>
      </c>
      <c r="D110" s="7">
        <v>389.95699999999999</v>
      </c>
      <c r="E110" s="7">
        <v>0</v>
      </c>
      <c r="F110" s="7">
        <v>0</v>
      </c>
      <c r="H110" s="6">
        <v>1897</v>
      </c>
      <c r="I110" s="7">
        <v>371.83499999999998</v>
      </c>
      <c r="J110" s="7">
        <v>350.76499999999999</v>
      </c>
      <c r="K110" s="7">
        <v>0</v>
      </c>
      <c r="L110" s="7">
        <v>0</v>
      </c>
      <c r="N110" s="13"/>
      <c r="Q110" s="12"/>
    </row>
    <row r="111" spans="1:17" ht="16" thickBot="1">
      <c r="A111">
        <v>104</v>
      </c>
      <c r="B111" s="6">
        <v>1896</v>
      </c>
      <c r="C111" s="7">
        <v>442.23899999999998</v>
      </c>
      <c r="D111" s="7">
        <v>414.47500000000002</v>
      </c>
      <c r="E111" s="7">
        <v>0</v>
      </c>
      <c r="F111" s="7">
        <v>0</v>
      </c>
      <c r="H111" s="6">
        <v>1896</v>
      </c>
      <c r="I111" s="7">
        <v>397.79300000000001</v>
      </c>
      <c r="J111" s="7">
        <v>372.81900000000002</v>
      </c>
      <c r="K111" s="7">
        <v>0</v>
      </c>
      <c r="L111" s="7">
        <v>0</v>
      </c>
      <c r="N111" s="13"/>
      <c r="Q111" s="12"/>
    </row>
    <row r="112" spans="1:17" ht="16" thickBot="1">
      <c r="A112">
        <v>105</v>
      </c>
      <c r="B112" s="6">
        <v>1895</v>
      </c>
      <c r="C112" s="7">
        <v>473.11200000000002</v>
      </c>
      <c r="D112" s="7">
        <v>439.50200000000001</v>
      </c>
      <c r="E112" s="7">
        <v>0</v>
      </c>
      <c r="F112" s="7">
        <v>0</v>
      </c>
      <c r="H112" s="6">
        <v>1895</v>
      </c>
      <c r="I112" s="7">
        <v>425.56299999999999</v>
      </c>
      <c r="J112" s="7">
        <v>395.33100000000002</v>
      </c>
      <c r="K112" s="7">
        <v>0</v>
      </c>
      <c r="L112" s="7">
        <v>0</v>
      </c>
      <c r="N112" s="13"/>
      <c r="Q112" s="12"/>
    </row>
    <row r="113" spans="1:17" ht="16" thickBot="1">
      <c r="A113">
        <v>106</v>
      </c>
      <c r="B113" s="6">
        <v>1894</v>
      </c>
      <c r="C113" s="7">
        <v>506.14100000000002</v>
      </c>
      <c r="D113" s="7">
        <v>465.04300000000001</v>
      </c>
      <c r="E113" s="7">
        <v>0</v>
      </c>
      <c r="F113" s="7">
        <v>0</v>
      </c>
      <c r="H113" s="6">
        <v>1894</v>
      </c>
      <c r="I113" s="7">
        <v>455.27199999999999</v>
      </c>
      <c r="J113" s="7">
        <v>418.30500000000001</v>
      </c>
      <c r="K113" s="7">
        <v>0</v>
      </c>
      <c r="L113" s="7">
        <v>0</v>
      </c>
      <c r="N113" s="13"/>
      <c r="Q113" s="12"/>
    </row>
    <row r="114" spans="1:17" ht="16" thickBot="1">
      <c r="A114">
        <v>107</v>
      </c>
      <c r="B114" s="6">
        <v>1893</v>
      </c>
      <c r="C114" s="7">
        <v>541.47500000000002</v>
      </c>
      <c r="D114" s="7">
        <v>491.11399999999998</v>
      </c>
      <c r="E114" s="7">
        <v>0</v>
      </c>
      <c r="F114" s="7">
        <v>0</v>
      </c>
      <c r="H114" s="6">
        <v>1893</v>
      </c>
      <c r="I114" s="7">
        <v>487.05500000000001</v>
      </c>
      <c r="J114" s="7">
        <v>441.75599999999997</v>
      </c>
      <c r="K114" s="7">
        <v>0</v>
      </c>
      <c r="L114" s="7">
        <v>0</v>
      </c>
      <c r="N114" s="13"/>
      <c r="Q114" s="12"/>
    </row>
    <row r="115" spans="1:17" ht="16" thickBot="1">
      <c r="A115">
        <v>108</v>
      </c>
      <c r="B115" s="6">
        <v>1892</v>
      </c>
      <c r="C115" s="7">
        <v>579.27599999999995</v>
      </c>
      <c r="D115" s="7">
        <v>518.64800000000002</v>
      </c>
      <c r="E115" s="7">
        <v>0</v>
      </c>
      <c r="F115" s="7">
        <v>0</v>
      </c>
      <c r="H115" s="6">
        <v>1892</v>
      </c>
      <c r="I115" s="7">
        <v>510.80099999999999</v>
      </c>
      <c r="J115" s="7">
        <v>468.98099999999999</v>
      </c>
      <c r="K115" s="7">
        <v>0</v>
      </c>
      <c r="L115" s="7">
        <v>0</v>
      </c>
      <c r="N115" s="13"/>
      <c r="Q115" s="12"/>
    </row>
    <row r="116" spans="1:17" ht="16" thickBot="1">
      <c r="A116">
        <v>109</v>
      </c>
      <c r="B116" s="6">
        <v>1891</v>
      </c>
      <c r="C116" s="7">
        <v>619.71600000000001</v>
      </c>
      <c r="D116" s="7">
        <v>547.72400000000005</v>
      </c>
      <c r="E116" s="7">
        <v>0</v>
      </c>
      <c r="F116" s="7">
        <v>0</v>
      </c>
      <c r="H116" s="6">
        <v>1891</v>
      </c>
      <c r="I116" s="7">
        <v>535.70399999999995</v>
      </c>
      <c r="J116" s="7">
        <v>497.88400000000001</v>
      </c>
      <c r="K116" s="7">
        <v>0</v>
      </c>
      <c r="L116" s="7">
        <v>0</v>
      </c>
      <c r="N116" s="13"/>
      <c r="Q116" s="12"/>
    </row>
    <row r="117" spans="1:17" ht="16" thickBot="1">
      <c r="A117">
        <v>110</v>
      </c>
      <c r="B117" s="6">
        <v>1890</v>
      </c>
      <c r="C117" s="7">
        <v>662.97900000000004</v>
      </c>
      <c r="D117" s="7">
        <v>578.43100000000004</v>
      </c>
      <c r="E117" s="7">
        <v>0</v>
      </c>
      <c r="F117" s="7">
        <v>0</v>
      </c>
      <c r="H117" s="6">
        <v>1890</v>
      </c>
      <c r="I117" s="7">
        <v>561.82100000000003</v>
      </c>
      <c r="J117" s="7">
        <v>528.56799999999998</v>
      </c>
      <c r="K117" s="7">
        <v>0</v>
      </c>
      <c r="L117" s="7">
        <v>0</v>
      </c>
      <c r="N117" s="13"/>
      <c r="Q117" s="12"/>
    </row>
    <row r="118" spans="1:17" ht="16" thickBot="1">
      <c r="A118">
        <v>111</v>
      </c>
      <c r="B118" s="6">
        <v>1889</v>
      </c>
      <c r="C118" s="7">
        <v>709.26199999999994</v>
      </c>
      <c r="D118" s="7">
        <v>610.85900000000004</v>
      </c>
      <c r="E118" s="7">
        <v>0</v>
      </c>
      <c r="F118" s="7">
        <v>0</v>
      </c>
      <c r="H118" s="6">
        <v>1889</v>
      </c>
      <c r="I118" s="7">
        <v>589.21100000000001</v>
      </c>
      <c r="J118" s="7">
        <v>561.14300000000003</v>
      </c>
      <c r="K118" s="7">
        <v>0</v>
      </c>
      <c r="L118" s="7">
        <v>0</v>
      </c>
      <c r="N118" s="13"/>
      <c r="Q118" s="12"/>
    </row>
    <row r="119" spans="1:17" ht="16" thickBot="1">
      <c r="A119">
        <v>112</v>
      </c>
      <c r="B119" s="6">
        <v>1888</v>
      </c>
      <c r="C119" s="7">
        <v>758.77599999999995</v>
      </c>
      <c r="D119" s="7">
        <v>645.10599999999999</v>
      </c>
      <c r="E119" s="7">
        <v>0</v>
      </c>
      <c r="F119" s="7">
        <v>0</v>
      </c>
      <c r="H119" s="6">
        <v>1888</v>
      </c>
      <c r="I119" s="7">
        <v>617.93700000000001</v>
      </c>
      <c r="J119" s="7">
        <v>595.72500000000002</v>
      </c>
      <c r="K119" s="7">
        <v>0</v>
      </c>
      <c r="L119" s="7">
        <v>0</v>
      </c>
      <c r="N119" s="13"/>
      <c r="Q119" s="12"/>
    </row>
    <row r="120" spans="1:17" ht="16" thickBot="1">
      <c r="A120">
        <v>113</v>
      </c>
      <c r="B120" s="6">
        <v>1887</v>
      </c>
      <c r="C120" s="7">
        <v>1000</v>
      </c>
      <c r="D120" s="7">
        <v>1000</v>
      </c>
      <c r="E120" s="7">
        <v>0</v>
      </c>
      <c r="F120" s="7">
        <v>0</v>
      </c>
      <c r="H120" s="6">
        <v>1887</v>
      </c>
      <c r="I120" s="7">
        <v>648.06399999999996</v>
      </c>
      <c r="J120" s="7">
        <v>632.43899999999996</v>
      </c>
      <c r="K120" s="7">
        <v>0</v>
      </c>
      <c r="L120" s="7">
        <v>0</v>
      </c>
      <c r="N120" s="13"/>
      <c r="Q120" s="12"/>
    </row>
    <row r="121" spans="1:17" ht="16" thickBot="1">
      <c r="A121">
        <v>114</v>
      </c>
      <c r="B121" s="17">
        <v>1886</v>
      </c>
      <c r="C121" s="18">
        <v>1000</v>
      </c>
      <c r="D121" s="18">
        <v>1000</v>
      </c>
      <c r="E121" s="18">
        <v>0</v>
      </c>
      <c r="F121" s="18">
        <v>0</v>
      </c>
      <c r="H121" s="6">
        <v>1886</v>
      </c>
      <c r="I121" s="7">
        <v>679.65899999999999</v>
      </c>
      <c r="J121" s="7">
        <v>671.41600000000005</v>
      </c>
      <c r="K121" s="7">
        <v>0</v>
      </c>
      <c r="L121" s="7">
        <v>0</v>
      </c>
      <c r="N121" s="13"/>
      <c r="Q121" s="12"/>
    </row>
    <row r="122" spans="1:17" ht="16" thickBot="1">
      <c r="A122">
        <v>115</v>
      </c>
      <c r="B122" s="17">
        <v>1885</v>
      </c>
      <c r="C122" s="18">
        <v>1000</v>
      </c>
      <c r="D122" s="18">
        <v>1000</v>
      </c>
      <c r="E122" s="18">
        <v>0</v>
      </c>
      <c r="F122" s="18">
        <v>0</v>
      </c>
      <c r="H122" s="8">
        <v>1885</v>
      </c>
      <c r="I122" s="11">
        <v>1000</v>
      </c>
      <c r="J122" s="11">
        <v>1000</v>
      </c>
      <c r="K122" s="9">
        <v>0</v>
      </c>
      <c r="L122" s="9">
        <v>0</v>
      </c>
      <c r="N122" s="13"/>
      <c r="Q122" s="12"/>
    </row>
  </sheetData>
  <mergeCells count="4">
    <mergeCell ref="C4:D4"/>
    <mergeCell ref="E4:F4"/>
    <mergeCell ref="I4:J4"/>
    <mergeCell ref="K4:L4"/>
  </mergeCells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Generador</vt:lpstr>
      <vt:lpstr>Base</vt:lpstr>
    </vt:vector>
  </TitlesOfParts>
  <Company>personal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 g</dc:creator>
  <cp:lastModifiedBy>diego  g</cp:lastModifiedBy>
  <dcterms:created xsi:type="dcterms:W3CDTF">2016-10-08T11:09:52Z</dcterms:created>
  <dcterms:modified xsi:type="dcterms:W3CDTF">2016-10-11T19:41:16Z</dcterms:modified>
</cp:coreProperties>
</file>