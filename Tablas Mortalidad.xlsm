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25600" windowHeight="14580" tabRatio="500"/>
  </bookViews>
  <sheets>
    <sheet name="Generador" sheetId="2" r:id="rId1"/>
    <sheet name="Base" sheetId="1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0" i="2" l="1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E104" i="2"/>
  <c r="F104" i="2"/>
  <c r="E105" i="2"/>
  <c r="L5" i="2"/>
  <c r="M5" i="2"/>
  <c r="I5" i="2"/>
  <c r="J5" i="2"/>
  <c r="C7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</calcChain>
</file>

<file path=xl/sharedStrings.xml><?xml version="1.0" encoding="utf-8"?>
<sst xmlns="http://schemas.openxmlformats.org/spreadsheetml/2006/main" count="43" uniqueCount="31">
  <si>
    <t>Año de</t>
  </si>
  <si>
    <t xml:space="preserve"> Tabla Base. qx ( en tanto por mil )</t>
  </si>
  <si>
    <r>
      <t>Factor de mejora de q</t>
    </r>
    <r>
      <rPr>
        <b/>
        <vertAlign val="subscript"/>
        <sz val="12"/>
        <color rgb="FF000000"/>
        <rFont val="Times New Roman"/>
      </rPr>
      <t>x</t>
    </r>
    <r>
      <rPr>
        <b/>
        <sz val="12"/>
        <color rgb="FF000000"/>
        <rFont val="Times New Roman"/>
      </rPr>
      <t xml:space="preserve"> (</t>
    </r>
    <r>
      <rPr>
        <sz val="12"/>
        <color rgb="FF000000"/>
        <rFont val="Times New Roman"/>
      </rPr>
      <t xml:space="preserve"> </t>
    </r>
    <r>
      <rPr>
        <b/>
        <sz val="12"/>
        <color rgb="FF000000"/>
        <rFont val="Times New Roman"/>
      </rPr>
      <t>)</t>
    </r>
  </si>
  <si>
    <t>Nacimiento</t>
  </si>
  <si>
    <t>Hombres</t>
  </si>
  <si>
    <t>Mujeres</t>
  </si>
  <si>
    <t>PERM/F2000C</t>
  </si>
  <si>
    <t>PERM/F2000P</t>
  </si>
  <si>
    <r>
      <t>Factor de mejora de qx (</t>
    </r>
    <r>
      <rPr>
        <sz val="12"/>
        <color rgb="FF000000"/>
        <rFont val="Times New Roman"/>
      </rPr>
      <t xml:space="preserve"> </t>
    </r>
    <r>
      <rPr>
        <b/>
        <sz val="12"/>
        <color rgb="FF000000"/>
        <rFont val="Times New Roman"/>
      </rPr>
      <t>)</t>
    </r>
  </si>
  <si>
    <t>SUPERVIVIENCIA</t>
  </si>
  <si>
    <t>MORTALIDAD</t>
  </si>
  <si>
    <t>qx</t>
  </si>
  <si>
    <t>lx</t>
  </si>
  <si>
    <t>TABLAS DE SUPERVIVENCIA</t>
  </si>
  <si>
    <t>TABLA</t>
  </si>
  <si>
    <t>F2000C</t>
  </si>
  <si>
    <t>F2000P</t>
  </si>
  <si>
    <t>AÑO</t>
  </si>
  <si>
    <t>GÉNERO</t>
  </si>
  <si>
    <t>MASCULINO</t>
  </si>
  <si>
    <t>FEMENINO</t>
  </si>
  <si>
    <t>Edad</t>
  </si>
  <si>
    <t>px</t>
  </si>
  <si>
    <t>dx</t>
  </si>
  <si>
    <t>t</t>
  </si>
  <si>
    <t>tPx</t>
  </si>
  <si>
    <t>Parámetro</t>
  </si>
  <si>
    <t>x</t>
  </si>
  <si>
    <t>Valor</t>
  </si>
  <si>
    <t>tQx</t>
  </si>
  <si>
    <t>lx+t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</si>
</sst>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00"/>
  </numFmts>
  <fonts count="12" x14ac:knownFonts="1">
    <font>
      <sz val="12"/>
      <color theme="1"/>
      <name val="Calibri"/>
      <family val="2"/>
      <scheme val="minor"/>
    </font>
    <font>
      <b/>
      <sz val="12"/>
      <color rgb="FF000000"/>
      <name val="Times New Roman"/>
    </font>
    <font>
      <b/>
      <vertAlign val="subscript"/>
      <sz val="12"/>
      <color rgb="FF000000"/>
      <name val="Times New Roman"/>
    </font>
    <font>
      <sz val="12"/>
      <color rgb="FF000000"/>
      <name val="Times New Roman"/>
    </font>
    <font>
      <b/>
      <sz val="16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</font>
    <font>
      <sz val="12"/>
      <color theme="0"/>
      <name val="Calibri"/>
      <family val="2"/>
      <scheme val="minor"/>
    </font>
    <font>
      <sz val="14"/>
      <color theme="1"/>
      <name val="Calibri"/>
      <scheme val="minor"/>
    </font>
    <font>
      <b/>
      <sz val="14"/>
      <color theme="1"/>
      <name val="Calibri"/>
      <scheme val="minor"/>
    </font>
    <font>
      <b/>
      <sz val="18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rgb="FF000000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4" fillId="0" borderId="0" xfId="0" applyFont="1"/>
    <xf numFmtId="4" fontId="3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164" fontId="0" fillId="0" borderId="0" xfId="0" applyNumberFormat="1"/>
    <xf numFmtId="2" fontId="0" fillId="0" borderId="11" xfId="0" applyNumberFormat="1" applyBorder="1"/>
    <xf numFmtId="165" fontId="0" fillId="0" borderId="11" xfId="0" applyNumberFormat="1" applyBorder="1"/>
    <xf numFmtId="0" fontId="0" fillId="0" borderId="11" xfId="0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7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8" fillId="0" borderId="0" xfId="0" applyFont="1"/>
    <xf numFmtId="0" fontId="8" fillId="0" borderId="12" xfId="0" applyFont="1" applyFill="1" applyBorder="1" applyAlignment="1">
      <alignment horizontal="center" vertical="center"/>
    </xf>
    <xf numFmtId="0" fontId="0" fillId="5" borderId="0" xfId="0" applyFill="1"/>
    <xf numFmtId="0" fontId="8" fillId="5" borderId="0" xfId="0" applyFont="1" applyFill="1"/>
    <xf numFmtId="0" fontId="9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165" fontId="9" fillId="6" borderId="11" xfId="0" applyNumberFormat="1" applyFont="1" applyFill="1" applyBorder="1" applyAlignment="1">
      <alignment horizontal="center" vertical="center"/>
    </xf>
    <xf numFmtId="165" fontId="9" fillId="7" borderId="11" xfId="0" applyNumberFormat="1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5">
    <cellStyle name="Hipervínculo" xfId="1" builtinId="8" hidden="1"/>
    <cellStyle name="Hipervínculo" xfId="3" builtinId="8" hidden="1"/>
    <cellStyle name="Hipervínculo visitado" xfId="2" builtinId="9" hidden="1"/>
    <cellStyle name="Hipervínculo visitado" xfId="4" builtinId="9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469900</xdr:colOff>
          <xdr:row>3</xdr:row>
          <xdr:rowOff>25400</xdr:rowOff>
        </xdr:from>
        <xdr:to>
          <xdr:col>5</xdr:col>
          <xdr:colOff>25400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Tabla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</xdr:row>
      <xdr:rowOff>0</xdr:rowOff>
    </xdr:from>
    <xdr:to>
      <xdr:col>4</xdr:col>
      <xdr:colOff>165100</xdr:colOff>
      <xdr:row>3</xdr:row>
      <xdr:rowOff>215900</xdr:rowOff>
    </xdr:to>
    <xdr:pic>
      <xdr:nvPicPr>
        <xdr:cNvPr id="1025" name="Picture 1" descr="0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7500" y="647700"/>
          <a:ext cx="1651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165100</xdr:colOff>
      <xdr:row>3</xdr:row>
      <xdr:rowOff>215900</xdr:rowOff>
    </xdr:to>
    <xdr:pic>
      <xdr:nvPicPr>
        <xdr:cNvPr id="1026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4000" y="647700"/>
          <a:ext cx="1651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M130"/>
  <sheetViews>
    <sheetView tabSelected="1" workbookViewId="0">
      <selection activeCell="I21" sqref="I21"/>
    </sheetView>
  </sheetViews>
  <sheetFormatPr baseColWidth="10" defaultColWidth="0" defaultRowHeight="15" zeroHeight="1" x14ac:dyDescent="0"/>
  <cols>
    <col min="1" max="2" width="10.83203125" customWidth="1"/>
    <col min="3" max="6" width="15.83203125" customWidth="1"/>
    <col min="7" max="7" width="11.83203125" customWidth="1"/>
    <col min="8" max="11" width="10.83203125" customWidth="1"/>
    <col min="14" max="16384" width="10.83203125" hidden="1"/>
  </cols>
  <sheetData>
    <row r="1" spans="1:13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</row>
    <row r="2" spans="1:13" ht="23" customHeight="1">
      <c r="A2" s="26"/>
      <c r="B2" s="34" t="s">
        <v>13</v>
      </c>
      <c r="C2" s="34"/>
      <c r="D2" s="34"/>
      <c r="E2" s="34"/>
      <c r="F2" s="34"/>
      <c r="G2" s="26"/>
      <c r="H2" s="26"/>
      <c r="I2" s="26"/>
      <c r="J2" s="26"/>
      <c r="K2" s="26"/>
    </row>
    <row r="3" spans="1:13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</row>
    <row r="4" spans="1:13" ht="18" customHeight="1">
      <c r="A4" s="26"/>
      <c r="B4" s="29" t="s">
        <v>14</v>
      </c>
      <c r="C4" s="28" t="s">
        <v>16</v>
      </c>
      <c r="F4" s="26"/>
      <c r="G4" s="30" t="s">
        <v>26</v>
      </c>
      <c r="H4" s="30" t="s">
        <v>28</v>
      </c>
      <c r="I4" s="30" t="s">
        <v>25</v>
      </c>
      <c r="J4" s="30" t="s">
        <v>29</v>
      </c>
      <c r="K4" s="26"/>
      <c r="L4" s="25" t="s">
        <v>30</v>
      </c>
      <c r="M4" s="25" t="s">
        <v>12</v>
      </c>
    </row>
    <row r="5" spans="1:13" ht="18" customHeight="1">
      <c r="A5" s="26"/>
      <c r="B5" s="29" t="s">
        <v>17</v>
      </c>
      <c r="C5" s="28">
        <v>1960</v>
      </c>
      <c r="D5" s="26"/>
      <c r="F5" s="26"/>
      <c r="G5" s="28" t="s">
        <v>24</v>
      </c>
      <c r="H5" s="28">
        <v>85</v>
      </c>
      <c r="I5" s="31">
        <f>+L5/M5</f>
        <v>0.29351479878750031</v>
      </c>
      <c r="J5" s="32">
        <f>1-I5</f>
        <v>0.70648520121249969</v>
      </c>
      <c r="K5" s="26"/>
      <c r="L5" s="24">
        <f>+VLOOKUP(H5+H6,$B$10:$E$125,4,FALSE)</f>
        <v>289294.52267032373</v>
      </c>
      <c r="M5" s="24">
        <f>+VLOOKUP(H6,$B$10:$E$125,4,FALSE)</f>
        <v>985621.59000292176</v>
      </c>
    </row>
    <row r="6" spans="1:13" ht="18" customHeight="1">
      <c r="A6" s="26"/>
      <c r="B6" s="29" t="s">
        <v>18</v>
      </c>
      <c r="C6" s="28" t="s">
        <v>19</v>
      </c>
      <c r="F6" s="26"/>
      <c r="G6" s="28" t="s">
        <v>27</v>
      </c>
      <c r="H6" s="28">
        <v>10</v>
      </c>
      <c r="I6" s="33"/>
      <c r="J6" s="33"/>
    </row>
    <row r="7" spans="1:13">
      <c r="A7" s="26"/>
      <c r="B7" s="26"/>
      <c r="C7" s="27">
        <f>+IF(C5&gt;2000,2000,C5)</f>
        <v>1960</v>
      </c>
      <c r="D7" s="26"/>
      <c r="E7" s="26"/>
      <c r="F7" s="26"/>
      <c r="G7" s="26"/>
      <c r="H7" s="26"/>
      <c r="I7" s="26"/>
      <c r="J7" s="26"/>
      <c r="K7" s="26"/>
    </row>
    <row r="8" spans="1:13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</row>
    <row r="9" spans="1:13" ht="20">
      <c r="A9" s="26"/>
      <c r="B9" s="19" t="s">
        <v>21</v>
      </c>
      <c r="C9" s="19" t="s">
        <v>11</v>
      </c>
      <c r="D9" s="19" t="s">
        <v>22</v>
      </c>
      <c r="E9" s="19" t="s">
        <v>12</v>
      </c>
      <c r="F9" s="19" t="s">
        <v>23</v>
      </c>
      <c r="G9" s="26"/>
      <c r="H9" s="26"/>
      <c r="I9" s="26"/>
      <c r="J9" s="26"/>
      <c r="K9" s="26"/>
    </row>
    <row r="10" spans="1:13">
      <c r="A10" s="26"/>
      <c r="B10" s="16">
        <v>0</v>
      </c>
      <c r="C10" s="15">
        <v>1.0462606151842302E-2</v>
      </c>
      <c r="D10" s="15">
        <v>0.98953739384815775</v>
      </c>
      <c r="E10" s="14">
        <v>1000000</v>
      </c>
      <c r="F10" s="14">
        <f>+E10*C10</f>
        <v>10462.606151842301</v>
      </c>
      <c r="G10" s="26"/>
      <c r="H10" s="26"/>
      <c r="I10" s="26"/>
      <c r="J10" s="26"/>
      <c r="K10" s="26"/>
    </row>
    <row r="11" spans="1:13">
      <c r="A11" s="26"/>
      <c r="B11" s="16">
        <v>1</v>
      </c>
      <c r="C11" s="15">
        <v>1.0141699068865436E-3</v>
      </c>
      <c r="D11" s="15">
        <v>0.99898583009311348</v>
      </c>
      <c r="E11" s="14">
        <f>+E10-F10</f>
        <v>989537.39384815772</v>
      </c>
      <c r="F11" s="14">
        <f>+E11*C11</f>
        <v>1003.5590465797392</v>
      </c>
      <c r="G11" s="26"/>
      <c r="H11" s="26"/>
      <c r="I11" s="26"/>
      <c r="J11" s="26"/>
      <c r="K11" s="26"/>
    </row>
    <row r="12" spans="1:13">
      <c r="A12" s="26"/>
      <c r="B12" s="16">
        <v>2</v>
      </c>
      <c r="C12" s="15">
        <v>5.3048011543012049E-4</v>
      </c>
      <c r="D12" s="15">
        <v>0.99946951988456989</v>
      </c>
      <c r="E12" s="14">
        <f>+E11-F11</f>
        <v>988533.83480157796</v>
      </c>
      <c r="F12" s="14">
        <f>+E12*C12</f>
        <v>524.3975427921207</v>
      </c>
      <c r="G12" s="26"/>
      <c r="H12" s="26"/>
      <c r="I12" s="26"/>
      <c r="J12" s="26"/>
      <c r="K12" s="26"/>
    </row>
    <row r="13" spans="1:13">
      <c r="A13" s="26"/>
      <c r="B13" s="16">
        <v>3</v>
      </c>
      <c r="C13" s="15">
        <v>4.6335630194990399E-4</v>
      </c>
      <c r="D13" s="15">
        <v>0.99953664369805006</v>
      </c>
      <c r="E13" s="14">
        <f t="shared" ref="E13:E75" si="0">+E12-F12</f>
        <v>988009.43725878582</v>
      </c>
      <c r="F13" s="14">
        <f t="shared" ref="F13:F75" si="1">+E13*C13</f>
        <v>457.80039913983671</v>
      </c>
      <c r="G13" s="26"/>
      <c r="H13" s="26"/>
      <c r="I13" s="26"/>
      <c r="J13" s="26"/>
      <c r="K13" s="26"/>
    </row>
    <row r="14" spans="1:13">
      <c r="A14" s="26"/>
      <c r="B14" s="16">
        <v>4</v>
      </c>
      <c r="C14" s="15">
        <v>3.8610154399159317E-4</v>
      </c>
      <c r="D14" s="15">
        <v>0.99961389845600845</v>
      </c>
      <c r="E14" s="14">
        <f t="shared" si="0"/>
        <v>987551.63685964595</v>
      </c>
      <c r="F14" s="14">
        <f t="shared" si="1"/>
        <v>381.29521176293446</v>
      </c>
      <c r="G14" s="26"/>
      <c r="H14" s="26"/>
      <c r="I14" s="26"/>
      <c r="J14" s="26"/>
      <c r="K14" s="26"/>
    </row>
    <row r="15" spans="1:13">
      <c r="A15" s="26"/>
      <c r="B15" s="16">
        <v>5</v>
      </c>
      <c r="C15" s="15">
        <v>3.6852002894664191E-4</v>
      </c>
      <c r="D15" s="15">
        <v>0.99963147997105339</v>
      </c>
      <c r="E15" s="14">
        <f t="shared" si="0"/>
        <v>987170.34164788306</v>
      </c>
      <c r="F15" s="14">
        <f t="shared" si="1"/>
        <v>363.79204287934425</v>
      </c>
      <c r="G15" s="26"/>
      <c r="H15" s="26"/>
      <c r="I15" s="26"/>
      <c r="J15" s="26"/>
      <c r="K15" s="26"/>
    </row>
    <row r="16" spans="1:13">
      <c r="A16" s="26"/>
      <c r="B16" s="16">
        <v>6</v>
      </c>
      <c r="C16" s="15">
        <v>3.2972765659928556E-4</v>
      </c>
      <c r="D16" s="15">
        <v>0.99967027234340067</v>
      </c>
      <c r="E16" s="14">
        <f t="shared" si="0"/>
        <v>986806.54960500367</v>
      </c>
      <c r="F16" s="14">
        <f t="shared" si="1"/>
        <v>325.37741111808452</v>
      </c>
      <c r="G16" s="26"/>
      <c r="H16" s="26"/>
      <c r="I16" s="26"/>
      <c r="J16" s="26"/>
      <c r="K16" s="26"/>
    </row>
    <row r="17" spans="1:11">
      <c r="A17" s="26"/>
      <c r="B17" s="16">
        <v>7</v>
      </c>
      <c r="C17" s="15">
        <v>3.133351636598954E-4</v>
      </c>
      <c r="D17" s="15">
        <v>0.99968666483634006</v>
      </c>
      <c r="E17" s="14">
        <f t="shared" si="0"/>
        <v>986481.17219388555</v>
      </c>
      <c r="F17" s="14">
        <f t="shared" si="1"/>
        <v>309.09923953677657</v>
      </c>
      <c r="G17" s="26"/>
      <c r="H17" s="26"/>
      <c r="I17" s="26"/>
      <c r="J17" s="26"/>
      <c r="K17" s="26"/>
    </row>
    <row r="18" spans="1:11">
      <c r="A18" s="26"/>
      <c r="B18" s="16">
        <v>8</v>
      </c>
      <c r="C18" s="15">
        <v>2.8604516918814208E-4</v>
      </c>
      <c r="D18" s="15">
        <v>0.99971395483081182</v>
      </c>
      <c r="E18" s="14">
        <f t="shared" si="0"/>
        <v>986172.07295434875</v>
      </c>
      <c r="F18" s="14">
        <f t="shared" si="1"/>
        <v>282.08975745684751</v>
      </c>
      <c r="G18" s="26"/>
      <c r="H18" s="26"/>
      <c r="I18" s="26"/>
      <c r="J18" s="26"/>
      <c r="K18" s="26"/>
    </row>
    <row r="19" spans="1:11">
      <c r="A19" s="26"/>
      <c r="B19" s="16">
        <v>9</v>
      </c>
      <c r="C19" s="15">
        <v>2.7223442629969433E-4</v>
      </c>
      <c r="D19" s="15">
        <v>0.99972776557370036</v>
      </c>
      <c r="E19" s="14">
        <f t="shared" si="0"/>
        <v>985889.98319689196</v>
      </c>
      <c r="F19" s="14">
        <f t="shared" si="1"/>
        <v>268.39319397022115</v>
      </c>
      <c r="G19" s="26"/>
      <c r="H19" s="26"/>
      <c r="I19" s="26"/>
      <c r="J19" s="26"/>
      <c r="K19" s="26"/>
    </row>
    <row r="20" spans="1:11">
      <c r="A20" s="26"/>
      <c r="B20" s="16">
        <v>10</v>
      </c>
      <c r="C20" s="15">
        <v>2.5720319842038772E-4</v>
      </c>
      <c r="D20" s="15">
        <v>0.99974279680157963</v>
      </c>
      <c r="E20" s="14">
        <f t="shared" si="0"/>
        <v>985621.59000292176</v>
      </c>
      <c r="F20" s="14">
        <f t="shared" si="1"/>
        <v>253.50502538093951</v>
      </c>
      <c r="G20" s="26"/>
      <c r="H20" s="26"/>
      <c r="I20" s="26"/>
      <c r="J20" s="26"/>
      <c r="K20" s="26"/>
    </row>
    <row r="21" spans="1:11">
      <c r="A21" s="26"/>
      <c r="B21" s="16">
        <v>11</v>
      </c>
      <c r="C21" s="15">
        <v>2.7500342449333822E-4</v>
      </c>
      <c r="D21" s="15">
        <v>0.99972499657550662</v>
      </c>
      <c r="E21" s="14">
        <f t="shared" si="0"/>
        <v>985368.08497754077</v>
      </c>
      <c r="F21" s="14">
        <f t="shared" si="1"/>
        <v>270.97959775526641</v>
      </c>
      <c r="G21" s="26"/>
      <c r="H21" s="26"/>
      <c r="I21" s="26"/>
      <c r="J21" s="26"/>
      <c r="K21" s="26"/>
    </row>
    <row r="22" spans="1:11">
      <c r="A22" s="26"/>
      <c r="B22" s="16">
        <v>12</v>
      </c>
      <c r="C22" s="15">
        <v>2.8004092623382858E-4</v>
      </c>
      <c r="D22" s="15">
        <v>0.99971995907376621</v>
      </c>
      <c r="E22" s="14">
        <f t="shared" si="0"/>
        <v>985097.10537978553</v>
      </c>
      <c r="F22" s="14">
        <f t="shared" si="1"/>
        <v>275.86750582081856</v>
      </c>
      <c r="G22" s="26"/>
      <c r="H22" s="26"/>
      <c r="I22" s="26"/>
      <c r="J22" s="26"/>
      <c r="K22" s="26"/>
    </row>
    <row r="23" spans="1:11">
      <c r="A23" s="26"/>
      <c r="B23" s="16">
        <v>13</v>
      </c>
      <c r="C23" s="15">
        <v>3.2834724751243193E-4</v>
      </c>
      <c r="D23" s="15">
        <v>0.99967165275248759</v>
      </c>
      <c r="E23" s="14">
        <f t="shared" si="0"/>
        <v>984821.23787396471</v>
      </c>
      <c r="F23" s="14">
        <f t="shared" si="1"/>
        <v>323.36334274770229</v>
      </c>
      <c r="G23" s="26"/>
      <c r="H23" s="26"/>
      <c r="I23" s="26"/>
      <c r="J23" s="26"/>
      <c r="K23" s="26"/>
    </row>
    <row r="24" spans="1:11">
      <c r="A24" s="26"/>
      <c r="B24" s="16">
        <v>14</v>
      </c>
      <c r="C24" s="15">
        <v>3.943538719666656E-4</v>
      </c>
      <c r="D24" s="15">
        <v>0.99960564612803338</v>
      </c>
      <c r="E24" s="14">
        <f t="shared" si="0"/>
        <v>984497.87453121704</v>
      </c>
      <c r="F24" s="14">
        <f t="shared" si="1"/>
        <v>388.24054876433797</v>
      </c>
      <c r="G24" s="26"/>
      <c r="H24" s="26"/>
      <c r="I24" s="26"/>
      <c r="J24" s="26"/>
      <c r="K24" s="26"/>
    </row>
    <row r="25" spans="1:11">
      <c r="A25" s="26"/>
      <c r="B25" s="16">
        <v>15</v>
      </c>
      <c r="C25" s="15">
        <v>5.2670689209178873E-4</v>
      </c>
      <c r="D25" s="15">
        <v>0.99947329310790822</v>
      </c>
      <c r="E25" s="14">
        <f t="shared" si="0"/>
        <v>984109.63398245268</v>
      </c>
      <c r="F25" s="14">
        <f t="shared" si="1"/>
        <v>518.33732679248544</v>
      </c>
      <c r="G25" s="26"/>
      <c r="H25" s="26"/>
      <c r="I25" s="26"/>
      <c r="J25" s="26"/>
      <c r="K25" s="26"/>
    </row>
    <row r="26" spans="1:11">
      <c r="A26" s="26"/>
      <c r="B26" s="16">
        <v>16</v>
      </c>
      <c r="C26" s="15">
        <v>7.2526468376753206E-4</v>
      </c>
      <c r="D26" s="15">
        <v>0.99927473531623245</v>
      </c>
      <c r="E26" s="14">
        <f t="shared" si="0"/>
        <v>983591.29665566015</v>
      </c>
      <c r="F26" s="14">
        <f t="shared" si="1"/>
        <v>713.3640307254642</v>
      </c>
      <c r="G26" s="26"/>
      <c r="H26" s="26"/>
      <c r="I26" s="26"/>
      <c r="J26" s="26"/>
      <c r="K26" s="26"/>
    </row>
    <row r="27" spans="1:11">
      <c r="A27" s="26"/>
      <c r="B27" s="16">
        <v>17</v>
      </c>
      <c r="C27" s="15">
        <v>9.2767737722165204E-4</v>
      </c>
      <c r="D27" s="15">
        <v>0.99907232262277834</v>
      </c>
      <c r="E27" s="14">
        <f t="shared" si="0"/>
        <v>982877.93262493471</v>
      </c>
      <c r="F27" s="14">
        <f t="shared" si="1"/>
        <v>911.79362266653902</v>
      </c>
      <c r="G27" s="26"/>
      <c r="H27" s="26"/>
      <c r="I27" s="26"/>
      <c r="J27" s="26"/>
      <c r="K27" s="26"/>
    </row>
    <row r="28" spans="1:11">
      <c r="A28" s="26"/>
      <c r="B28" s="16">
        <v>18</v>
      </c>
      <c r="C28" s="15">
        <v>1.0766093314309659E-3</v>
      </c>
      <c r="D28" s="15">
        <v>0.99892339066856906</v>
      </c>
      <c r="E28" s="14">
        <f t="shared" si="0"/>
        <v>981966.1390022682</v>
      </c>
      <c r="F28" s="14">
        <f t="shared" si="1"/>
        <v>1057.193908399079</v>
      </c>
      <c r="G28" s="26"/>
      <c r="H28" s="26"/>
      <c r="I28" s="26"/>
      <c r="J28" s="26"/>
      <c r="K28" s="26"/>
    </row>
    <row r="29" spans="1:11">
      <c r="A29" s="26"/>
      <c r="B29" s="16">
        <v>19</v>
      </c>
      <c r="C29" s="15">
        <v>1.1934958598435442E-3</v>
      </c>
      <c r="D29" s="15">
        <v>0.99880650414015648</v>
      </c>
      <c r="E29" s="14">
        <f t="shared" si="0"/>
        <v>980908.94509386912</v>
      </c>
      <c r="F29" s="14">
        <f t="shared" si="1"/>
        <v>1170.7107648530312</v>
      </c>
      <c r="G29" s="26"/>
      <c r="H29" s="26"/>
      <c r="I29" s="26"/>
      <c r="J29" s="26"/>
      <c r="K29" s="26"/>
    </row>
    <row r="30" spans="1:11">
      <c r="A30" s="26"/>
      <c r="B30" s="16">
        <v>20</v>
      </c>
      <c r="C30" s="15">
        <v>1.3174621961941791E-3</v>
      </c>
      <c r="D30" s="15">
        <v>0.99868253780380578</v>
      </c>
      <c r="E30" s="14">
        <f t="shared" si="0"/>
        <v>979738.23432901606</v>
      </c>
      <c r="F30" s="14">
        <f t="shared" si="1"/>
        <v>1290.7680858945128</v>
      </c>
      <c r="G30" s="26"/>
      <c r="H30" s="26"/>
      <c r="I30" s="26"/>
      <c r="J30" s="26"/>
      <c r="K30" s="26"/>
    </row>
    <row r="31" spans="1:11">
      <c r="A31" s="26"/>
      <c r="B31" s="16">
        <v>21</v>
      </c>
      <c r="C31" s="15">
        <v>1.3443894104308099E-3</v>
      </c>
      <c r="D31" s="15">
        <v>0.9986556105895692</v>
      </c>
      <c r="E31" s="14">
        <f t="shared" si="0"/>
        <v>978447.46624312154</v>
      </c>
      <c r="F31" s="14">
        <f t="shared" si="1"/>
        <v>1315.4144122801099</v>
      </c>
      <c r="G31" s="26"/>
      <c r="H31" s="26"/>
      <c r="I31" s="26"/>
      <c r="J31" s="26"/>
      <c r="K31" s="26"/>
    </row>
    <row r="32" spans="1:11">
      <c r="A32" s="26"/>
      <c r="B32" s="16">
        <v>22</v>
      </c>
      <c r="C32" s="15">
        <v>1.4173815356933737E-3</v>
      </c>
      <c r="D32" s="15">
        <v>0.99858261846430663</v>
      </c>
      <c r="E32" s="14">
        <f t="shared" si="0"/>
        <v>977132.05183084146</v>
      </c>
      <c r="F32" s="14">
        <f t="shared" si="1"/>
        <v>1384.9689281992153</v>
      </c>
      <c r="G32" s="26"/>
      <c r="H32" s="26"/>
      <c r="I32" s="26"/>
      <c r="J32" s="26"/>
      <c r="K32" s="26"/>
    </row>
    <row r="33" spans="1:11">
      <c r="A33" s="26"/>
      <c r="B33" s="16">
        <v>23</v>
      </c>
      <c r="C33" s="15">
        <v>1.4698357861742215E-3</v>
      </c>
      <c r="D33" s="15">
        <v>0.99853016421382579</v>
      </c>
      <c r="E33" s="14">
        <f t="shared" si="0"/>
        <v>975747.0829026422</v>
      </c>
      <c r="F33" s="14">
        <f t="shared" si="1"/>
        <v>1434.1879807054083</v>
      </c>
      <c r="G33" s="26"/>
      <c r="H33" s="26"/>
      <c r="I33" s="26"/>
      <c r="J33" s="26"/>
      <c r="K33" s="26"/>
    </row>
    <row r="34" spans="1:11">
      <c r="A34" s="26"/>
      <c r="B34" s="16">
        <v>24</v>
      </c>
      <c r="C34" s="15">
        <v>1.5026164956799004E-3</v>
      </c>
      <c r="D34" s="15">
        <v>0.99849738350432005</v>
      </c>
      <c r="E34" s="14">
        <f t="shared" si="0"/>
        <v>974312.89492193679</v>
      </c>
      <c r="F34" s="14">
        <f t="shared" si="1"/>
        <v>1464.0186278633396</v>
      </c>
      <c r="G34" s="26"/>
      <c r="H34" s="26"/>
      <c r="I34" s="26"/>
      <c r="J34" s="26"/>
      <c r="K34" s="26"/>
    </row>
    <row r="35" spans="1:11">
      <c r="A35" s="26"/>
      <c r="B35" s="16">
        <v>25</v>
      </c>
      <c r="C35" s="15">
        <v>1.4652175779444813E-3</v>
      </c>
      <c r="D35" s="15">
        <v>0.99853478242205551</v>
      </c>
      <c r="E35" s="14">
        <f t="shared" si="0"/>
        <v>972848.87629407342</v>
      </c>
      <c r="F35" s="14">
        <f t="shared" si="1"/>
        <v>1425.4352742296126</v>
      </c>
      <c r="G35" s="26"/>
      <c r="H35" s="26"/>
      <c r="I35" s="26"/>
      <c r="J35" s="26"/>
      <c r="K35" s="26"/>
    </row>
    <row r="36" spans="1:11">
      <c r="A36" s="26"/>
      <c r="B36" s="16">
        <v>26</v>
      </c>
      <c r="C36" s="15">
        <v>1.4717779255283947E-3</v>
      </c>
      <c r="D36" s="15">
        <v>0.99852822207447156</v>
      </c>
      <c r="E36" s="14">
        <f t="shared" si="0"/>
        <v>971423.4410198438</v>
      </c>
      <c r="F36" s="14">
        <f t="shared" si="1"/>
        <v>1429.7195768338406</v>
      </c>
      <c r="G36" s="26"/>
      <c r="H36" s="26"/>
      <c r="I36" s="26"/>
      <c r="J36" s="26"/>
      <c r="K36" s="26"/>
    </row>
    <row r="37" spans="1:11">
      <c r="A37" s="26"/>
      <c r="B37" s="16">
        <v>27</v>
      </c>
      <c r="C37" s="15">
        <v>1.503339690287797E-3</v>
      </c>
      <c r="D37" s="15">
        <v>0.99849666030971218</v>
      </c>
      <c r="E37" s="14">
        <f t="shared" si="0"/>
        <v>969993.72144300991</v>
      </c>
      <c r="F37" s="14">
        <f t="shared" si="1"/>
        <v>1458.2300607752422</v>
      </c>
      <c r="G37" s="26"/>
      <c r="H37" s="26"/>
      <c r="I37" s="26"/>
      <c r="J37" s="26"/>
      <c r="K37" s="26"/>
    </row>
    <row r="38" spans="1:11">
      <c r="A38" s="26"/>
      <c r="B38" s="16">
        <v>28</v>
      </c>
      <c r="C38" s="15">
        <v>1.5336354421590388E-3</v>
      </c>
      <c r="D38" s="15">
        <v>0.99846636455784099</v>
      </c>
      <c r="E38" s="14">
        <f t="shared" si="0"/>
        <v>968535.49138223461</v>
      </c>
      <c r="F38" s="14">
        <f t="shared" si="1"/>
        <v>1485.3803565727153</v>
      </c>
      <c r="G38" s="26"/>
      <c r="H38" s="26"/>
      <c r="I38" s="26"/>
      <c r="J38" s="26"/>
      <c r="K38" s="26"/>
    </row>
    <row r="39" spans="1:11">
      <c r="A39" s="26"/>
      <c r="B39" s="16">
        <v>29</v>
      </c>
      <c r="C39" s="15">
        <v>1.5308522680873851E-3</v>
      </c>
      <c r="D39" s="15">
        <v>0.99846914773191264</v>
      </c>
      <c r="E39" s="14">
        <f t="shared" si="0"/>
        <v>967050.11102566193</v>
      </c>
      <c r="F39" s="14">
        <f t="shared" si="1"/>
        <v>1480.410855817792</v>
      </c>
      <c r="G39" s="26"/>
      <c r="H39" s="26"/>
      <c r="I39" s="26"/>
      <c r="J39" s="26"/>
      <c r="K39" s="26"/>
    </row>
    <row r="40" spans="1:11">
      <c r="A40" s="26"/>
      <c r="B40" s="16">
        <v>30</v>
      </c>
      <c r="C40" s="15">
        <v>1.4697203170512781E-3</v>
      </c>
      <c r="D40" s="15">
        <v>0.99853027968294872</v>
      </c>
      <c r="E40" s="14">
        <f t="shared" si="0"/>
        <v>965569.70016984409</v>
      </c>
      <c r="F40" s="14">
        <f t="shared" si="1"/>
        <v>1419.1174058687309</v>
      </c>
      <c r="G40" s="26"/>
      <c r="H40" s="26"/>
      <c r="I40" s="26"/>
      <c r="J40" s="26"/>
      <c r="K40" s="26"/>
    </row>
    <row r="41" spans="1:11">
      <c r="A41" s="26"/>
      <c r="B41" s="16">
        <v>31</v>
      </c>
      <c r="C41" s="15">
        <v>1.4043466343990631E-3</v>
      </c>
      <c r="D41" s="15">
        <v>0.99859565336560097</v>
      </c>
      <c r="E41" s="14">
        <f t="shared" si="0"/>
        <v>964150.58276397537</v>
      </c>
      <c r="F41" s="14">
        <f t="shared" si="1"/>
        <v>1354.0016259584843</v>
      </c>
      <c r="G41" s="26"/>
      <c r="H41" s="26"/>
      <c r="I41" s="26"/>
      <c r="J41" s="26"/>
      <c r="K41" s="26"/>
    </row>
    <row r="42" spans="1:11">
      <c r="A42" s="26"/>
      <c r="B42" s="16">
        <v>32</v>
      </c>
      <c r="C42" s="15">
        <v>1.4116260581773785E-3</v>
      </c>
      <c r="D42" s="15">
        <v>0.99858837394182265</v>
      </c>
      <c r="E42" s="14">
        <f t="shared" si="0"/>
        <v>962796.58113801689</v>
      </c>
      <c r="F42" s="14">
        <f t="shared" si="1"/>
        <v>1359.1087426585154</v>
      </c>
      <c r="G42" s="26"/>
      <c r="H42" s="26"/>
      <c r="I42" s="26"/>
      <c r="J42" s="26"/>
      <c r="K42" s="26"/>
    </row>
    <row r="43" spans="1:11">
      <c r="A43" s="26"/>
      <c r="B43" s="16">
        <v>33</v>
      </c>
      <c r="C43" s="15">
        <v>1.3939418159964099E-3</v>
      </c>
      <c r="D43" s="15">
        <v>0.99860605818400361</v>
      </c>
      <c r="E43" s="14">
        <f t="shared" si="0"/>
        <v>961437.47239535837</v>
      </c>
      <c r="F43" s="14">
        <f t="shared" si="1"/>
        <v>1340.1878962377841</v>
      </c>
      <c r="G43" s="26"/>
      <c r="H43" s="26"/>
      <c r="I43" s="26"/>
      <c r="J43" s="26"/>
      <c r="K43" s="26"/>
    </row>
    <row r="44" spans="1:11">
      <c r="A44" s="26"/>
      <c r="B44" s="16">
        <v>34</v>
      </c>
      <c r="C44" s="15">
        <v>1.3622469832129871E-3</v>
      </c>
      <c r="D44" s="15">
        <v>0.99863775301678703</v>
      </c>
      <c r="E44" s="14">
        <f t="shared" si="0"/>
        <v>960097.28449912055</v>
      </c>
      <c r="F44" s="14">
        <f t="shared" si="1"/>
        <v>1307.889629399908</v>
      </c>
      <c r="G44" s="26"/>
      <c r="H44" s="26"/>
      <c r="I44" s="26"/>
      <c r="J44" s="26"/>
      <c r="K44" s="26"/>
    </row>
    <row r="45" spans="1:11">
      <c r="A45" s="26"/>
      <c r="B45" s="16">
        <v>35</v>
      </c>
      <c r="C45" s="15">
        <v>1.3171744323810198E-3</v>
      </c>
      <c r="D45" s="15">
        <v>0.998682825567619</v>
      </c>
      <c r="E45" s="14">
        <f t="shared" si="0"/>
        <v>958789.39486972068</v>
      </c>
      <c r="F45" s="14">
        <f t="shared" si="1"/>
        <v>1262.8928769604659</v>
      </c>
      <c r="G45" s="26"/>
      <c r="H45" s="26"/>
      <c r="I45" s="26"/>
      <c r="J45" s="26"/>
      <c r="K45" s="26"/>
    </row>
    <row r="46" spans="1:11">
      <c r="A46" s="26"/>
      <c r="B46" s="16">
        <v>36</v>
      </c>
      <c r="C46" s="15">
        <v>1.2657091634820687E-3</v>
      </c>
      <c r="D46" s="15">
        <v>0.99873429083651788</v>
      </c>
      <c r="E46" s="14">
        <f t="shared" si="0"/>
        <v>957526.50199276023</v>
      </c>
      <c r="F46" s="14">
        <f t="shared" si="1"/>
        <v>1211.9500678491679</v>
      </c>
      <c r="G46" s="26"/>
      <c r="H46" s="26"/>
      <c r="I46" s="26"/>
      <c r="J46" s="26"/>
      <c r="K46" s="26"/>
    </row>
    <row r="47" spans="1:11">
      <c r="A47" s="26"/>
      <c r="B47" s="16">
        <v>37</v>
      </c>
      <c r="C47" s="15">
        <v>1.2364049304121035E-3</v>
      </c>
      <c r="D47" s="15">
        <v>0.9987635950695879</v>
      </c>
      <c r="E47" s="14">
        <f t="shared" si="0"/>
        <v>956314.55192491109</v>
      </c>
      <c r="F47" s="14">
        <f t="shared" si="1"/>
        <v>1182.3920270248016</v>
      </c>
      <c r="G47" s="26"/>
      <c r="H47" s="26"/>
      <c r="I47" s="26"/>
      <c r="J47" s="26"/>
      <c r="K47" s="26"/>
    </row>
    <row r="48" spans="1:11">
      <c r="A48" s="26"/>
      <c r="B48" s="16">
        <v>38</v>
      </c>
      <c r="C48" s="15">
        <v>1.3097077126549199E-3</v>
      </c>
      <c r="D48" s="15">
        <v>0.99869029228734507</v>
      </c>
      <c r="E48" s="14">
        <f t="shared" si="0"/>
        <v>955132.15989788633</v>
      </c>
      <c r="F48" s="14">
        <f t="shared" si="1"/>
        <v>1250.943956423014</v>
      </c>
      <c r="G48" s="26"/>
      <c r="H48" s="26"/>
      <c r="I48" s="26"/>
      <c r="J48" s="26"/>
      <c r="K48" s="26"/>
    </row>
    <row r="49" spans="1:11">
      <c r="A49" s="26"/>
      <c r="B49" s="16">
        <v>39</v>
      </c>
      <c r="C49" s="15">
        <v>1.4120222728804649E-3</v>
      </c>
      <c r="D49" s="15">
        <v>0.99858797772711949</v>
      </c>
      <c r="E49" s="14">
        <f t="shared" si="0"/>
        <v>953881.21594146336</v>
      </c>
      <c r="F49" s="14">
        <f t="shared" si="1"/>
        <v>1346.9015225916467</v>
      </c>
      <c r="G49" s="26"/>
      <c r="H49" s="26"/>
      <c r="I49" s="26"/>
      <c r="J49" s="26"/>
      <c r="K49" s="26"/>
    </row>
    <row r="50" spans="1:11">
      <c r="A50" s="26"/>
      <c r="B50" s="16">
        <v>40</v>
      </c>
      <c r="C50" s="15">
        <v>1.4759999999999999E-3</v>
      </c>
      <c r="D50" s="15">
        <v>0.99852399999999997</v>
      </c>
      <c r="E50" s="14">
        <f t="shared" si="0"/>
        <v>952534.31441887177</v>
      </c>
      <c r="F50" s="14">
        <f t="shared" si="1"/>
        <v>1405.9406480822547</v>
      </c>
      <c r="G50" s="26"/>
      <c r="H50" s="26"/>
      <c r="I50" s="26"/>
      <c r="J50" s="26"/>
      <c r="K50" s="26"/>
    </row>
    <row r="51" spans="1:11">
      <c r="A51" s="26"/>
      <c r="B51" s="16">
        <v>41</v>
      </c>
      <c r="C51" s="15">
        <v>1.5633726481500605E-3</v>
      </c>
      <c r="D51" s="15">
        <v>0.9984366273518499</v>
      </c>
      <c r="E51" s="14">
        <f t="shared" si="0"/>
        <v>951128.37377078948</v>
      </c>
      <c r="F51" s="14">
        <f t="shared" si="1"/>
        <v>1486.9680844326997</v>
      </c>
      <c r="G51" s="26"/>
      <c r="H51" s="26"/>
      <c r="I51" s="26"/>
      <c r="J51" s="26"/>
      <c r="K51" s="26"/>
    </row>
    <row r="52" spans="1:11">
      <c r="A52" s="26"/>
      <c r="B52" s="16">
        <v>42</v>
      </c>
      <c r="C52" s="15">
        <v>1.6478165159653669E-3</v>
      </c>
      <c r="D52" s="15">
        <v>0.99835218348403465</v>
      </c>
      <c r="E52" s="14">
        <f t="shared" si="0"/>
        <v>949641.40568635683</v>
      </c>
      <c r="F52" s="14">
        <f t="shared" si="1"/>
        <v>1564.8347925345461</v>
      </c>
      <c r="G52" s="26"/>
      <c r="H52" s="26"/>
      <c r="I52" s="26"/>
      <c r="J52" s="26"/>
      <c r="K52" s="26"/>
    </row>
    <row r="53" spans="1:11">
      <c r="A53" s="26"/>
      <c r="B53" s="16">
        <v>43</v>
      </c>
      <c r="C53" s="15">
        <v>1.7054995075902503E-3</v>
      </c>
      <c r="D53" s="15">
        <v>0.99829450049240975</v>
      </c>
      <c r="E53" s="14">
        <f t="shared" si="0"/>
        <v>948076.57089382224</v>
      </c>
      <c r="F53" s="14">
        <f t="shared" si="1"/>
        <v>1616.9441248172668</v>
      </c>
      <c r="G53" s="26"/>
      <c r="H53" s="26"/>
      <c r="I53" s="26"/>
      <c r="J53" s="26"/>
      <c r="K53" s="26"/>
    </row>
    <row r="54" spans="1:11">
      <c r="A54" s="26"/>
      <c r="B54" s="16">
        <v>44</v>
      </c>
      <c r="C54" s="15">
        <v>1.7987702591459149E-3</v>
      </c>
      <c r="D54" s="15">
        <v>0.99820122974085412</v>
      </c>
      <c r="E54" s="14">
        <f t="shared" si="0"/>
        <v>946459.62676900497</v>
      </c>
      <c r="F54" s="14">
        <f t="shared" si="1"/>
        <v>1702.463428114429</v>
      </c>
      <c r="G54" s="26"/>
      <c r="H54" s="26"/>
      <c r="I54" s="26"/>
      <c r="J54" s="26"/>
      <c r="K54" s="26"/>
    </row>
    <row r="55" spans="1:11">
      <c r="A55" s="26"/>
      <c r="B55" s="16">
        <v>45</v>
      </c>
      <c r="C55" s="15">
        <v>1.9167180427547901E-3</v>
      </c>
      <c r="D55" s="15">
        <v>0.99808328195724516</v>
      </c>
      <c r="E55" s="14">
        <f t="shared" si="0"/>
        <v>944757.16334089055</v>
      </c>
      <c r="F55" s="14">
        <f t="shared" si="1"/>
        <v>1810.8331009973192</v>
      </c>
      <c r="G55" s="26"/>
      <c r="H55" s="26"/>
      <c r="I55" s="26"/>
      <c r="J55" s="26"/>
      <c r="K55" s="26"/>
    </row>
    <row r="56" spans="1:11">
      <c r="A56" s="26"/>
      <c r="B56" s="16">
        <v>46</v>
      </c>
      <c r="C56" s="15">
        <v>2.0746237905656878E-3</v>
      </c>
      <c r="D56" s="15">
        <v>0.99792537620943433</v>
      </c>
      <c r="E56" s="14">
        <f t="shared" si="0"/>
        <v>942946.33023989317</v>
      </c>
      <c r="F56" s="14">
        <f t="shared" si="1"/>
        <v>1956.2588899422919</v>
      </c>
      <c r="G56" s="26"/>
      <c r="H56" s="26"/>
      <c r="I56" s="26"/>
      <c r="J56" s="26"/>
      <c r="K56" s="26"/>
    </row>
    <row r="57" spans="1:11">
      <c r="A57" s="26"/>
      <c r="B57" s="16">
        <v>47</v>
      </c>
      <c r="C57" s="15">
        <v>2.1463736618456569E-3</v>
      </c>
      <c r="D57" s="15">
        <v>0.99785362633815433</v>
      </c>
      <c r="E57" s="14">
        <f t="shared" si="0"/>
        <v>940990.07134995086</v>
      </c>
      <c r="F57" s="14">
        <f t="shared" si="1"/>
        <v>2019.7163052037999</v>
      </c>
      <c r="G57" s="26"/>
      <c r="H57" s="26"/>
      <c r="I57" s="26"/>
      <c r="J57" s="26"/>
      <c r="K57" s="26"/>
    </row>
    <row r="58" spans="1:11">
      <c r="A58" s="26"/>
      <c r="B58" s="16">
        <v>48</v>
      </c>
      <c r="C58" s="15">
        <v>2.2164141713561765E-3</v>
      </c>
      <c r="D58" s="15">
        <v>0.99778358582864379</v>
      </c>
      <c r="E58" s="14">
        <f t="shared" si="0"/>
        <v>938970.355044747</v>
      </c>
      <c r="F58" s="14">
        <f t="shared" si="1"/>
        <v>2081.147201404518</v>
      </c>
      <c r="G58" s="26"/>
      <c r="H58" s="26"/>
      <c r="I58" s="26"/>
      <c r="J58" s="26"/>
      <c r="K58" s="26"/>
    </row>
    <row r="59" spans="1:11">
      <c r="A59" s="26"/>
      <c r="B59" s="16">
        <v>49</v>
      </c>
      <c r="C59" s="15">
        <v>2.5460081666589325E-3</v>
      </c>
      <c r="D59" s="15">
        <v>0.99745399183334105</v>
      </c>
      <c r="E59" s="14">
        <f t="shared" si="0"/>
        <v>936889.20784334245</v>
      </c>
      <c r="F59" s="14">
        <f t="shared" si="1"/>
        <v>2385.3275744237681</v>
      </c>
      <c r="G59" s="26"/>
      <c r="H59" s="26"/>
      <c r="I59" s="26"/>
      <c r="J59" s="26"/>
      <c r="K59" s="26"/>
    </row>
    <row r="60" spans="1:11">
      <c r="A60" s="26"/>
      <c r="B60" s="16">
        <v>50</v>
      </c>
      <c r="C60" s="15">
        <v>2.8239828706506146E-3</v>
      </c>
      <c r="D60" s="15">
        <v>0.99717601712934933</v>
      </c>
      <c r="E60" s="14">
        <f t="shared" si="0"/>
        <v>934503.8802689187</v>
      </c>
      <c r="F60" s="14">
        <f t="shared" si="1"/>
        <v>2639.022950435959</v>
      </c>
      <c r="G60" s="26"/>
      <c r="H60" s="26"/>
      <c r="I60" s="26"/>
      <c r="J60" s="26"/>
      <c r="K60" s="26"/>
    </row>
    <row r="61" spans="1:11">
      <c r="A61" s="26"/>
      <c r="B61" s="16">
        <v>51</v>
      </c>
      <c r="C61" s="15">
        <v>3.114313575114915E-3</v>
      </c>
      <c r="D61" s="15">
        <v>0.99688568642488506</v>
      </c>
      <c r="E61" s="14">
        <f t="shared" si="0"/>
        <v>931864.85731848271</v>
      </c>
      <c r="F61" s="14">
        <f t="shared" si="1"/>
        <v>2902.1193753194739</v>
      </c>
      <c r="G61" s="26"/>
      <c r="H61" s="26"/>
      <c r="I61" s="26"/>
      <c r="J61" s="26"/>
      <c r="K61" s="26"/>
    </row>
    <row r="62" spans="1:11">
      <c r="A62" s="26"/>
      <c r="B62" s="16">
        <v>52</v>
      </c>
      <c r="C62" s="15">
        <v>3.3419161158564992E-3</v>
      </c>
      <c r="D62" s="15">
        <v>0.99665808388414345</v>
      </c>
      <c r="E62" s="14">
        <f t="shared" si="0"/>
        <v>928962.73794316326</v>
      </c>
      <c r="F62" s="14">
        <f t="shared" si="1"/>
        <v>3104.5155449624349</v>
      </c>
      <c r="G62" s="26"/>
      <c r="H62" s="26"/>
      <c r="I62" s="26"/>
      <c r="J62" s="26"/>
      <c r="K62" s="26"/>
    </row>
    <row r="63" spans="1:11">
      <c r="A63" s="26"/>
      <c r="B63" s="16">
        <v>53</v>
      </c>
      <c r="C63" s="15">
        <v>3.9273898229013754E-3</v>
      </c>
      <c r="D63" s="15">
        <v>0.99607261017709858</v>
      </c>
      <c r="E63" s="14">
        <f t="shared" si="0"/>
        <v>925858.22239820077</v>
      </c>
      <c r="F63" s="14">
        <f t="shared" si="1"/>
        <v>3636.206160096252</v>
      </c>
      <c r="G63" s="26"/>
      <c r="H63" s="26"/>
      <c r="I63" s="26"/>
      <c r="J63" s="26"/>
      <c r="K63" s="26"/>
    </row>
    <row r="64" spans="1:11">
      <c r="A64" s="26"/>
      <c r="B64" s="16">
        <v>54</v>
      </c>
      <c r="C64" s="15">
        <v>4.1023668688551168E-3</v>
      </c>
      <c r="D64" s="15">
        <v>0.99589763313114488</v>
      </c>
      <c r="E64" s="14">
        <f t="shared" si="0"/>
        <v>922222.01623810455</v>
      </c>
      <c r="F64" s="14">
        <f t="shared" si="1"/>
        <v>3783.2930451439656</v>
      </c>
      <c r="G64" s="26"/>
      <c r="H64" s="26"/>
      <c r="I64" s="26"/>
      <c r="J64" s="26"/>
      <c r="K64" s="26"/>
    </row>
    <row r="65" spans="1:11">
      <c r="A65" s="26"/>
      <c r="B65" s="16">
        <v>55</v>
      </c>
      <c r="C65" s="15">
        <v>4.3479208111448083E-3</v>
      </c>
      <c r="D65" s="15">
        <v>0.99565207918885523</v>
      </c>
      <c r="E65" s="14">
        <f t="shared" si="0"/>
        <v>918438.72319296061</v>
      </c>
      <c r="F65" s="14">
        <f t="shared" si="1"/>
        <v>3993.2988383319394</v>
      </c>
      <c r="G65" s="26"/>
      <c r="H65" s="26"/>
      <c r="I65" s="26"/>
      <c r="J65" s="26"/>
      <c r="K65" s="26"/>
    </row>
    <row r="66" spans="1:11">
      <c r="A66" s="26"/>
      <c r="B66" s="16">
        <v>56</v>
      </c>
      <c r="C66" s="15">
        <v>4.5718811285188092E-3</v>
      </c>
      <c r="D66" s="15">
        <v>0.99542811887148119</v>
      </c>
      <c r="E66" s="14">
        <f t="shared" si="0"/>
        <v>914445.42435462866</v>
      </c>
      <c r="F66" s="14">
        <f t="shared" si="1"/>
        <v>4180.735778667301</v>
      </c>
      <c r="G66" s="26"/>
      <c r="H66" s="26"/>
      <c r="I66" s="26"/>
      <c r="J66" s="26"/>
      <c r="K66" s="26"/>
    </row>
    <row r="67" spans="1:11">
      <c r="A67" s="26"/>
      <c r="B67" s="16">
        <v>57</v>
      </c>
      <c r="C67" s="15">
        <v>4.8920478516283035E-3</v>
      </c>
      <c r="D67" s="15">
        <v>0.99510795214837167</v>
      </c>
      <c r="E67" s="14">
        <f t="shared" si="0"/>
        <v>910264.68857596139</v>
      </c>
      <c r="F67" s="14">
        <f t="shared" si="1"/>
        <v>4453.0584141611389</v>
      </c>
      <c r="G67" s="26"/>
      <c r="H67" s="26"/>
      <c r="I67" s="26"/>
      <c r="J67" s="26"/>
      <c r="K67" s="26"/>
    </row>
    <row r="68" spans="1:11">
      <c r="A68" s="26"/>
      <c r="B68" s="16">
        <v>58</v>
      </c>
      <c r="C68" s="15">
        <v>5.2436537465998445E-3</v>
      </c>
      <c r="D68" s="15">
        <v>0.99475634625340015</v>
      </c>
      <c r="E68" s="14">
        <f t="shared" si="0"/>
        <v>905811.63016180031</v>
      </c>
      <c r="F68" s="14">
        <f t="shared" si="1"/>
        <v>4749.7625482116373</v>
      </c>
      <c r="G68" s="26"/>
      <c r="H68" s="26"/>
      <c r="I68" s="26"/>
      <c r="J68" s="26"/>
      <c r="K68" s="26"/>
    </row>
    <row r="69" spans="1:11">
      <c r="A69" s="26"/>
      <c r="B69" s="16">
        <v>59</v>
      </c>
      <c r="C69" s="15">
        <v>5.4882000280228544E-3</v>
      </c>
      <c r="D69" s="15">
        <v>0.99451179997197714</v>
      </c>
      <c r="E69" s="14">
        <f t="shared" si="0"/>
        <v>901061.86761358869</v>
      </c>
      <c r="F69" s="14">
        <f t="shared" si="1"/>
        <v>4945.2077670872231</v>
      </c>
      <c r="G69" s="26"/>
      <c r="H69" s="26"/>
      <c r="I69" s="26"/>
      <c r="J69" s="26"/>
      <c r="K69" s="26"/>
    </row>
    <row r="70" spans="1:11">
      <c r="A70" s="26"/>
      <c r="B70" s="16">
        <v>60</v>
      </c>
      <c r="C70" s="15">
        <v>6.0895257740037215E-3</v>
      </c>
      <c r="D70" s="15">
        <v>0.99391047422599632</v>
      </c>
      <c r="E70" s="14">
        <f t="shared" si="0"/>
        <v>896116.65984650142</v>
      </c>
      <c r="F70" s="14">
        <f t="shared" si="1"/>
        <v>5456.9254966493963</v>
      </c>
      <c r="G70" s="26"/>
      <c r="H70" s="26"/>
      <c r="I70" s="26"/>
      <c r="J70" s="26"/>
      <c r="K70" s="26"/>
    </row>
    <row r="71" spans="1:11">
      <c r="A71" s="26"/>
      <c r="B71" s="16">
        <v>61</v>
      </c>
      <c r="C71" s="15">
        <v>6.5783169126612771E-3</v>
      </c>
      <c r="D71" s="15">
        <v>0.99342168308733869</v>
      </c>
      <c r="E71" s="14">
        <f t="shared" si="0"/>
        <v>890659.73434985208</v>
      </c>
      <c r="F71" s="14">
        <f t="shared" si="1"/>
        <v>5859.0419939000321</v>
      </c>
      <c r="G71" s="26"/>
      <c r="H71" s="26"/>
      <c r="I71" s="26"/>
      <c r="J71" s="26"/>
      <c r="K71" s="26"/>
    </row>
    <row r="72" spans="1:11">
      <c r="A72" s="26"/>
      <c r="B72" s="16">
        <v>62</v>
      </c>
      <c r="C72" s="15">
        <v>6.998722544959801E-3</v>
      </c>
      <c r="D72" s="15">
        <v>0.99300127745504019</v>
      </c>
      <c r="E72" s="14">
        <f t="shared" si="0"/>
        <v>884800.69235595199</v>
      </c>
      <c r="F72" s="14">
        <f t="shared" si="1"/>
        <v>6192.4745533876421</v>
      </c>
      <c r="G72" s="26"/>
      <c r="H72" s="26"/>
      <c r="I72" s="26"/>
      <c r="J72" s="26"/>
      <c r="K72" s="26"/>
    </row>
    <row r="73" spans="1:11">
      <c r="A73" s="26"/>
      <c r="B73" s="16">
        <v>63</v>
      </c>
      <c r="C73" s="15">
        <v>7.447645237067385E-3</v>
      </c>
      <c r="D73" s="15">
        <v>0.99255235476293258</v>
      </c>
      <c r="E73" s="14">
        <f t="shared" si="0"/>
        <v>878608.21780256438</v>
      </c>
      <c r="F73" s="14">
        <f t="shared" si="1"/>
        <v>6543.5623085655325</v>
      </c>
      <c r="G73" s="26"/>
      <c r="H73" s="26"/>
      <c r="I73" s="26"/>
      <c r="J73" s="26"/>
      <c r="K73" s="26"/>
    </row>
    <row r="74" spans="1:11">
      <c r="A74" s="26"/>
      <c r="B74" s="16">
        <v>64</v>
      </c>
      <c r="C74" s="15">
        <v>8.1460687832053576E-3</v>
      </c>
      <c r="D74" s="15">
        <v>0.99185393121679466</v>
      </c>
      <c r="E74" s="14">
        <f t="shared" si="0"/>
        <v>872064.6554939989</v>
      </c>
      <c r="F74" s="14">
        <f t="shared" si="1"/>
        <v>7103.8986670563991</v>
      </c>
      <c r="G74" s="26"/>
      <c r="H74" s="26"/>
      <c r="I74" s="26"/>
      <c r="J74" s="26"/>
      <c r="K74" s="26"/>
    </row>
    <row r="75" spans="1:11">
      <c r="A75" s="26"/>
      <c r="B75" s="16">
        <v>65</v>
      </c>
      <c r="C75" s="15">
        <v>8.9553793026463675E-3</v>
      </c>
      <c r="D75" s="15">
        <v>0.99104462069735366</v>
      </c>
      <c r="E75" s="14">
        <f t="shared" si="0"/>
        <v>864960.75682694255</v>
      </c>
      <c r="F75" s="14">
        <f t="shared" si="1"/>
        <v>7746.0516592893391</v>
      </c>
      <c r="G75" s="26"/>
      <c r="H75" s="26"/>
      <c r="I75" s="26"/>
      <c r="J75" s="26"/>
      <c r="K75" s="26"/>
    </row>
    <row r="76" spans="1:11">
      <c r="A76" s="26"/>
      <c r="B76" s="16">
        <v>66</v>
      </c>
      <c r="C76" s="15">
        <v>9.5241590535656822E-3</v>
      </c>
      <c r="D76" s="15">
        <v>0.99047584094643437</v>
      </c>
      <c r="E76" s="14">
        <f t="shared" ref="E76:E125" si="2">+E75-F75</f>
        <v>857214.70516765327</v>
      </c>
      <c r="F76" s="14">
        <f t="shared" ref="F76:F125" si="3">+E76*C76</f>
        <v>8164.2491950721414</v>
      </c>
      <c r="G76" s="26"/>
      <c r="H76" s="26"/>
      <c r="I76" s="26"/>
      <c r="J76" s="26"/>
      <c r="K76" s="26"/>
    </row>
    <row r="77" spans="1:11">
      <c r="A77" s="26"/>
      <c r="B77" s="16">
        <v>67</v>
      </c>
      <c r="C77" s="15">
        <v>1.0298121959654844E-2</v>
      </c>
      <c r="D77" s="15">
        <v>0.98970187804034515</v>
      </c>
      <c r="E77" s="14">
        <f t="shared" si="2"/>
        <v>849050.45597258117</v>
      </c>
      <c r="F77" s="14">
        <f t="shared" si="3"/>
        <v>8743.6251455061956</v>
      </c>
      <c r="G77" s="26"/>
      <c r="H77" s="26"/>
      <c r="I77" s="26"/>
      <c r="J77" s="26"/>
      <c r="K77" s="26"/>
    </row>
    <row r="78" spans="1:11">
      <c r="A78" s="26"/>
      <c r="B78" s="16">
        <v>68</v>
      </c>
      <c r="C78" s="15">
        <v>1.117308117095504E-2</v>
      </c>
      <c r="D78" s="15">
        <v>0.98882691882904494</v>
      </c>
      <c r="E78" s="14">
        <f t="shared" si="2"/>
        <v>840306.83082707494</v>
      </c>
      <c r="F78" s="14">
        <f t="shared" si="3"/>
        <v>9388.8164293388927</v>
      </c>
      <c r="G78" s="26"/>
      <c r="H78" s="26"/>
      <c r="I78" s="26"/>
      <c r="J78" s="26"/>
      <c r="K78" s="26"/>
    </row>
    <row r="79" spans="1:11">
      <c r="A79" s="26"/>
      <c r="B79" s="16">
        <v>69</v>
      </c>
      <c r="C79" s="15">
        <v>1.1980221722947344E-2</v>
      </c>
      <c r="D79" s="15">
        <v>0.98801977827705267</v>
      </c>
      <c r="E79" s="14">
        <f t="shared" si="2"/>
        <v>830918.01439773606</v>
      </c>
      <c r="F79" s="14">
        <f t="shared" si="3"/>
        <v>9954.5820460760315</v>
      </c>
      <c r="G79" s="26"/>
      <c r="H79" s="26"/>
      <c r="I79" s="26"/>
      <c r="J79" s="26"/>
      <c r="K79" s="26"/>
    </row>
    <row r="80" spans="1:11">
      <c r="A80" s="26"/>
      <c r="B80" s="16">
        <v>70</v>
      </c>
      <c r="C80" s="15">
        <v>1.2738535213099788E-2</v>
      </c>
      <c r="D80" s="15">
        <v>0.98726146478690024</v>
      </c>
      <c r="E80" s="14">
        <f t="shared" si="2"/>
        <v>820963.43235165998</v>
      </c>
      <c r="F80" s="14">
        <f t="shared" si="3"/>
        <v>10457.871591678886</v>
      </c>
      <c r="G80" s="26"/>
      <c r="H80" s="26"/>
      <c r="I80" s="26"/>
      <c r="J80" s="26"/>
      <c r="K80" s="26"/>
    </row>
    <row r="81" spans="1:11">
      <c r="A81" s="26"/>
      <c r="B81" s="16">
        <v>71</v>
      </c>
      <c r="C81" s="15">
        <v>1.3765580830230979E-2</v>
      </c>
      <c r="D81" s="15">
        <v>0.98623441916976906</v>
      </c>
      <c r="E81" s="14">
        <f t="shared" si="2"/>
        <v>810505.56075998105</v>
      </c>
      <c r="F81" s="14">
        <f t="shared" si="3"/>
        <v>11157.079809993205</v>
      </c>
      <c r="G81" s="26"/>
      <c r="H81" s="26"/>
      <c r="I81" s="26"/>
      <c r="J81" s="26"/>
      <c r="K81" s="26"/>
    </row>
    <row r="82" spans="1:11">
      <c r="A82" s="26"/>
      <c r="B82" s="16">
        <v>72</v>
      </c>
      <c r="C82" s="15">
        <v>1.5131729063227368E-2</v>
      </c>
      <c r="D82" s="15">
        <v>0.98486827093677265</v>
      </c>
      <c r="E82" s="14">
        <f t="shared" si="2"/>
        <v>799348.48094998789</v>
      </c>
      <c r="F82" s="14">
        <f t="shared" si="3"/>
        <v>12095.524640837581</v>
      </c>
      <c r="G82" s="26"/>
      <c r="H82" s="26"/>
      <c r="I82" s="26"/>
      <c r="J82" s="26"/>
      <c r="K82" s="26"/>
    </row>
    <row r="83" spans="1:11">
      <c r="A83" s="26"/>
      <c r="B83" s="16">
        <v>73</v>
      </c>
      <c r="C83" s="15">
        <v>1.6567527689406388E-2</v>
      </c>
      <c r="D83" s="15">
        <v>0.98343247231059361</v>
      </c>
      <c r="E83" s="14">
        <f t="shared" si="2"/>
        <v>787252.95630915032</v>
      </c>
      <c r="F83" s="14">
        <f t="shared" si="3"/>
        <v>13042.835152218886</v>
      </c>
      <c r="G83" s="26"/>
      <c r="H83" s="26"/>
      <c r="I83" s="26"/>
      <c r="J83" s="26"/>
      <c r="K83" s="26"/>
    </row>
    <row r="84" spans="1:11">
      <c r="A84" s="26"/>
      <c r="B84" s="16">
        <v>74</v>
      </c>
      <c r="C84" s="15">
        <v>1.8149378374021925E-2</v>
      </c>
      <c r="D84" s="15">
        <v>0.98185062162597803</v>
      </c>
      <c r="E84" s="14">
        <f t="shared" si="2"/>
        <v>774210.12115693139</v>
      </c>
      <c r="F84" s="14">
        <f t="shared" si="3"/>
        <v>14051.432429874505</v>
      </c>
      <c r="G84" s="26"/>
      <c r="H84" s="26"/>
      <c r="I84" s="26"/>
      <c r="J84" s="26"/>
      <c r="K84" s="26"/>
    </row>
    <row r="85" spans="1:11">
      <c r="A85" s="26"/>
      <c r="B85" s="16">
        <v>75</v>
      </c>
      <c r="C85" s="15">
        <v>1.9787526938069965E-2</v>
      </c>
      <c r="D85" s="15">
        <v>0.98021247306193005</v>
      </c>
      <c r="E85" s="14">
        <f t="shared" si="2"/>
        <v>760158.68872705684</v>
      </c>
      <c r="F85" s="14">
        <f t="shared" si="3"/>
        <v>15041.660530394578</v>
      </c>
      <c r="G85" s="26"/>
      <c r="H85" s="26"/>
      <c r="I85" s="26"/>
      <c r="J85" s="26"/>
      <c r="K85" s="26"/>
    </row>
    <row r="86" spans="1:11">
      <c r="A86" s="26"/>
      <c r="B86" s="16">
        <v>76</v>
      </c>
      <c r="C86" s="15">
        <v>2.1399681323677647E-2</v>
      </c>
      <c r="D86" s="15">
        <v>0.97860031867632236</v>
      </c>
      <c r="E86" s="14">
        <f t="shared" si="2"/>
        <v>745117.02819666232</v>
      </c>
      <c r="F86" s="14">
        <f t="shared" si="3"/>
        <v>15945.266952254306</v>
      </c>
      <c r="G86" s="26"/>
      <c r="H86" s="26"/>
      <c r="I86" s="26"/>
      <c r="J86" s="26"/>
      <c r="K86" s="26"/>
    </row>
    <row r="87" spans="1:11">
      <c r="A87" s="26"/>
      <c r="B87" s="16">
        <v>77</v>
      </c>
      <c r="C87" s="15">
        <v>2.3101815935066976E-2</v>
      </c>
      <c r="D87" s="15">
        <v>0.97689818406493301</v>
      </c>
      <c r="E87" s="14">
        <f t="shared" si="2"/>
        <v>729171.76124440797</v>
      </c>
      <c r="F87" s="14">
        <f t="shared" si="3"/>
        <v>16845.191813316917</v>
      </c>
      <c r="G87" s="26"/>
      <c r="H87" s="26"/>
      <c r="I87" s="26"/>
      <c r="J87" s="26"/>
      <c r="K87" s="26"/>
    </row>
    <row r="88" spans="1:11">
      <c r="A88" s="26"/>
      <c r="B88" s="16">
        <v>78</v>
      </c>
      <c r="C88" s="15">
        <v>2.4989438085255146E-2</v>
      </c>
      <c r="D88" s="15">
        <v>0.97501056191474489</v>
      </c>
      <c r="E88" s="14">
        <f t="shared" si="2"/>
        <v>712326.56943109108</v>
      </c>
      <c r="F88" s="14">
        <f t="shared" si="3"/>
        <v>17800.640703280453</v>
      </c>
      <c r="G88" s="26"/>
      <c r="H88" s="26"/>
      <c r="I88" s="26"/>
      <c r="J88" s="26"/>
      <c r="K88" s="26"/>
    </row>
    <row r="89" spans="1:11">
      <c r="A89" s="26"/>
      <c r="B89" s="16">
        <v>79</v>
      </c>
      <c r="C89" s="15">
        <v>2.719400843263765E-2</v>
      </c>
      <c r="D89" s="15">
        <v>0.97280599156736236</v>
      </c>
      <c r="E89" s="14">
        <f t="shared" si="2"/>
        <v>694525.92872781062</v>
      </c>
      <c r="F89" s="14">
        <f t="shared" si="3"/>
        <v>18886.943962509577</v>
      </c>
      <c r="G89" s="26"/>
      <c r="H89" s="26"/>
      <c r="I89" s="26"/>
      <c r="J89" s="26"/>
      <c r="K89" s="26"/>
    </row>
    <row r="90" spans="1:11">
      <c r="A90" s="26"/>
      <c r="B90" s="16">
        <v>80</v>
      </c>
      <c r="C90" s="15">
        <v>2.9382277373201992E-2</v>
      </c>
      <c r="D90" s="15">
        <v>0.97061772262679802</v>
      </c>
      <c r="E90" s="14">
        <f t="shared" si="2"/>
        <v>675638.98476530099</v>
      </c>
      <c r="F90" s="14">
        <f t="shared" si="3"/>
        <v>19851.81205452267</v>
      </c>
      <c r="G90" s="26"/>
      <c r="H90" s="26"/>
      <c r="I90" s="26"/>
      <c r="J90" s="26"/>
      <c r="K90" s="26"/>
    </row>
    <row r="91" spans="1:11">
      <c r="A91" s="26"/>
      <c r="B91" s="16">
        <v>81</v>
      </c>
      <c r="C91" s="15">
        <v>3.2038379456030101E-2</v>
      </c>
      <c r="D91" s="15">
        <v>0.96796162054396995</v>
      </c>
      <c r="E91" s="14">
        <f t="shared" si="2"/>
        <v>655787.17271077831</v>
      </c>
      <c r="F91" s="14">
        <f t="shared" si="3"/>
        <v>21010.358281705063</v>
      </c>
      <c r="G91" s="26"/>
      <c r="H91" s="26"/>
      <c r="I91" s="26"/>
      <c r="J91" s="26"/>
      <c r="K91" s="26"/>
    </row>
    <row r="92" spans="1:11">
      <c r="A92" s="26"/>
      <c r="B92" s="16">
        <v>82</v>
      </c>
      <c r="C92" s="15">
        <v>3.4768657953332262E-2</v>
      </c>
      <c r="D92" s="15">
        <v>0.96523134204666772</v>
      </c>
      <c r="E92" s="14">
        <f t="shared" si="2"/>
        <v>634776.81442907325</v>
      </c>
      <c r="F92" s="14">
        <f t="shared" si="3"/>
        <v>22070.337937590313</v>
      </c>
      <c r="G92" s="26"/>
      <c r="H92" s="26"/>
      <c r="I92" s="26"/>
      <c r="J92" s="26"/>
      <c r="K92" s="26"/>
    </row>
    <row r="93" spans="1:11">
      <c r="A93" s="26"/>
      <c r="B93" s="16">
        <v>83</v>
      </c>
      <c r="C93" s="15">
        <v>3.71634218450363E-2</v>
      </c>
      <c r="D93" s="15">
        <v>0.96283657815496371</v>
      </c>
      <c r="E93" s="14">
        <f t="shared" si="2"/>
        <v>612706.47649148293</v>
      </c>
      <c r="F93" s="14">
        <f t="shared" si="3"/>
        <v>22770.269253038798</v>
      </c>
      <c r="G93" s="26"/>
      <c r="H93" s="26"/>
      <c r="I93" s="26"/>
      <c r="J93" s="26"/>
      <c r="K93" s="26"/>
    </row>
    <row r="94" spans="1:11">
      <c r="A94" s="26"/>
      <c r="B94" s="16">
        <v>84</v>
      </c>
      <c r="C94" s="15">
        <v>3.9231600544592432E-2</v>
      </c>
      <c r="D94" s="15">
        <v>0.9607683994554076</v>
      </c>
      <c r="E94" s="14">
        <f t="shared" si="2"/>
        <v>589936.20723844413</v>
      </c>
      <c r="F94" s="14">
        <f t="shared" si="3"/>
        <v>23144.141629170539</v>
      </c>
      <c r="G94" s="26"/>
      <c r="H94" s="26"/>
      <c r="I94" s="26"/>
      <c r="J94" s="26"/>
      <c r="K94" s="26"/>
    </row>
    <row r="95" spans="1:11">
      <c r="A95" s="26"/>
      <c r="B95" s="16">
        <v>85</v>
      </c>
      <c r="C95" s="15">
        <v>4.241527561871189E-2</v>
      </c>
      <c r="D95" s="15">
        <v>0.95758472438128805</v>
      </c>
      <c r="E95" s="14">
        <f t="shared" si="2"/>
        <v>566792.06560927362</v>
      </c>
      <c r="F95" s="14">
        <f t="shared" si="3"/>
        <v>24040.641681316374</v>
      </c>
      <c r="G95" s="26"/>
      <c r="H95" s="26"/>
      <c r="I95" s="26"/>
      <c r="J95" s="26"/>
      <c r="K95" s="26"/>
    </row>
    <row r="96" spans="1:11">
      <c r="A96" s="26"/>
      <c r="B96" s="16">
        <v>86</v>
      </c>
      <c r="C96" s="15">
        <v>4.612292900703821E-2</v>
      </c>
      <c r="D96" s="15">
        <v>0.95387707099296182</v>
      </c>
      <c r="E96" s="14">
        <f t="shared" si="2"/>
        <v>542751.42392795719</v>
      </c>
      <c r="F96" s="14">
        <f t="shared" si="3"/>
        <v>25033.285394298069</v>
      </c>
      <c r="G96" s="26"/>
      <c r="H96" s="26"/>
      <c r="I96" s="26"/>
      <c r="J96" s="26"/>
      <c r="K96" s="26"/>
    </row>
    <row r="97" spans="1:11">
      <c r="A97" s="26"/>
      <c r="B97" s="16">
        <v>87</v>
      </c>
      <c r="C97" s="15">
        <v>4.9063004989337848E-2</v>
      </c>
      <c r="D97" s="15">
        <v>0.9509369950106622</v>
      </c>
      <c r="E97" s="14">
        <f t="shared" si="2"/>
        <v>517718.1385336591</v>
      </c>
      <c r="F97" s="14">
        <f t="shared" si="3"/>
        <v>25400.807613947622</v>
      </c>
      <c r="G97" s="26"/>
      <c r="H97" s="26"/>
      <c r="I97" s="26"/>
      <c r="J97" s="26"/>
      <c r="K97" s="26"/>
    </row>
    <row r="98" spans="1:11">
      <c r="A98" s="26"/>
      <c r="B98" s="16">
        <v>88</v>
      </c>
      <c r="C98" s="15">
        <v>5.2733765906191409E-2</v>
      </c>
      <c r="D98" s="15">
        <v>0.94726623409380861</v>
      </c>
      <c r="E98" s="14">
        <f t="shared" si="2"/>
        <v>492317.3309197115</v>
      </c>
      <c r="F98" s="14">
        <f t="shared" si="3"/>
        <v>25961.746880281036</v>
      </c>
      <c r="G98" s="26"/>
      <c r="H98" s="26"/>
      <c r="I98" s="26"/>
      <c r="J98" s="26"/>
      <c r="K98" s="26"/>
    </row>
    <row r="99" spans="1:11">
      <c r="A99" s="26"/>
      <c r="B99" s="16">
        <v>89</v>
      </c>
      <c r="C99" s="15">
        <v>5.7081768352748322E-2</v>
      </c>
      <c r="D99" s="15">
        <v>0.94291823164725164</v>
      </c>
      <c r="E99" s="14">
        <f t="shared" si="2"/>
        <v>466355.58403943048</v>
      </c>
      <c r="F99" s="14">
        <f t="shared" si="3"/>
        <v>26620.401418149424</v>
      </c>
      <c r="G99" s="26"/>
      <c r="H99" s="26"/>
      <c r="I99" s="26"/>
      <c r="J99" s="26"/>
      <c r="K99" s="26"/>
    </row>
    <row r="100" spans="1:11">
      <c r="A100" s="26"/>
      <c r="B100" s="16">
        <v>90</v>
      </c>
      <c r="C100" s="15">
        <v>6.1689654688318302E-2</v>
      </c>
      <c r="D100" s="15">
        <v>0.93831034531168167</v>
      </c>
      <c r="E100" s="14">
        <f t="shared" si="2"/>
        <v>439735.18262128107</v>
      </c>
      <c r="F100" s="14">
        <f t="shared" si="3"/>
        <v>27127.111570211415</v>
      </c>
      <c r="G100" s="26"/>
      <c r="H100" s="26"/>
      <c r="I100" s="26"/>
      <c r="J100" s="26"/>
      <c r="K100" s="26"/>
    </row>
    <row r="101" spans="1:11">
      <c r="A101" s="26"/>
      <c r="B101" s="16">
        <v>91</v>
      </c>
      <c r="C101" s="15">
        <v>6.6361271896246854E-2</v>
      </c>
      <c r="D101" s="15">
        <v>0.93363872810375315</v>
      </c>
      <c r="E101" s="14">
        <f t="shared" si="2"/>
        <v>412608.07105106965</v>
      </c>
      <c r="F101" s="14">
        <f t="shared" si="3"/>
        <v>27381.196389605975</v>
      </c>
      <c r="G101" s="26"/>
      <c r="H101" s="26"/>
      <c r="I101" s="26"/>
      <c r="J101" s="26"/>
      <c r="K101" s="26"/>
    </row>
    <row r="102" spans="1:11">
      <c r="A102" s="26"/>
      <c r="B102" s="16">
        <v>92</v>
      </c>
      <c r="C102" s="15">
        <v>7.7499861809565446E-2</v>
      </c>
      <c r="D102" s="15">
        <v>0.92250013819043453</v>
      </c>
      <c r="E102" s="14">
        <f t="shared" si="2"/>
        <v>385226.87466146366</v>
      </c>
      <c r="F102" s="14">
        <f t="shared" si="3"/>
        <v>29855.029551594223</v>
      </c>
      <c r="G102" s="26"/>
      <c r="H102" s="26"/>
      <c r="I102" s="26"/>
      <c r="J102" s="26"/>
      <c r="K102" s="26"/>
    </row>
    <row r="103" spans="1:11">
      <c r="A103" s="26"/>
      <c r="B103" s="16">
        <v>93</v>
      </c>
      <c r="C103" s="15">
        <v>9.0183222235040703E-2</v>
      </c>
      <c r="D103" s="15">
        <v>0.90981677776495928</v>
      </c>
      <c r="E103" s="14">
        <f t="shared" si="2"/>
        <v>355371.84510986943</v>
      </c>
      <c r="F103" s="14">
        <f t="shared" si="3"/>
        <v>32048.578083619817</v>
      </c>
      <c r="G103" s="26"/>
      <c r="H103" s="26"/>
      <c r="I103" s="26"/>
      <c r="J103" s="26"/>
      <c r="K103" s="26"/>
    </row>
    <row r="104" spans="1:11">
      <c r="A104" s="26"/>
      <c r="B104" s="16">
        <v>94</v>
      </c>
      <c r="C104" s="15">
        <v>0.10524681588462106</v>
      </c>
      <c r="D104" s="15">
        <v>0.89475318411537896</v>
      </c>
      <c r="E104" s="14">
        <f t="shared" si="2"/>
        <v>323323.26702624961</v>
      </c>
      <c r="F104" s="14">
        <f t="shared" si="3"/>
        <v>34028.744355925868</v>
      </c>
      <c r="G104" s="26"/>
      <c r="H104" s="26"/>
      <c r="I104" s="26"/>
      <c r="J104" s="26"/>
      <c r="K104" s="26"/>
    </row>
    <row r="105" spans="1:11">
      <c r="A105" s="26"/>
      <c r="B105" s="16">
        <v>95</v>
      </c>
      <c r="C105" s="15">
        <v>0.12196233756093829</v>
      </c>
      <c r="D105" s="15">
        <v>0.87803766243906167</v>
      </c>
      <c r="E105" s="14">
        <f t="shared" si="2"/>
        <v>289294.52267032373</v>
      </c>
      <c r="F105" s="14">
        <f t="shared" si="3"/>
        <v>35283.036228448538</v>
      </c>
      <c r="G105" s="26"/>
      <c r="H105" s="26"/>
      <c r="I105" s="26"/>
      <c r="J105" s="26"/>
      <c r="K105" s="26"/>
    </row>
    <row r="106" spans="1:11">
      <c r="A106" s="26"/>
      <c r="B106" s="16">
        <v>96</v>
      </c>
      <c r="C106" s="15">
        <v>0.14175719432827869</v>
      </c>
      <c r="D106" s="15">
        <v>0.85824280567172129</v>
      </c>
      <c r="E106" s="14">
        <f t="shared" si="2"/>
        <v>254011.4864418752</v>
      </c>
      <c r="F106" s="14">
        <f t="shared" si="3"/>
        <v>36007.955645155831</v>
      </c>
      <c r="G106" s="26"/>
      <c r="H106" s="26"/>
      <c r="I106" s="26"/>
      <c r="J106" s="26"/>
      <c r="K106" s="26"/>
    </row>
    <row r="107" spans="1:11">
      <c r="A107" s="26"/>
      <c r="B107" s="16">
        <v>97</v>
      </c>
      <c r="C107" s="15">
        <v>0.16525824773636183</v>
      </c>
      <c r="D107" s="15">
        <v>0.83474175226363823</v>
      </c>
      <c r="E107" s="14">
        <f t="shared" si="2"/>
        <v>218003.53079671937</v>
      </c>
      <c r="F107" s="14">
        <f t="shared" si="3"/>
        <v>36026.881499805837</v>
      </c>
      <c r="G107" s="26"/>
      <c r="H107" s="26"/>
      <c r="I107" s="26"/>
      <c r="J107" s="26"/>
      <c r="K107" s="26"/>
    </row>
    <row r="108" spans="1:11">
      <c r="A108" s="26"/>
      <c r="B108" s="16">
        <v>98</v>
      </c>
      <c r="C108" s="15">
        <v>0.19323421205647798</v>
      </c>
      <c r="D108" s="15">
        <v>0.80676578794352205</v>
      </c>
      <c r="E108" s="14">
        <f t="shared" si="2"/>
        <v>181976.64929691353</v>
      </c>
      <c r="F108" s="14">
        <f t="shared" si="3"/>
        <v>35164.114439567114</v>
      </c>
      <c r="G108" s="26"/>
      <c r="H108" s="26"/>
      <c r="I108" s="26"/>
      <c r="J108" s="26"/>
      <c r="K108" s="26"/>
    </row>
    <row r="109" spans="1:11">
      <c r="A109" s="26"/>
      <c r="B109" s="16">
        <v>99</v>
      </c>
      <c r="C109" s="15">
        <v>0.22709864175021699</v>
      </c>
      <c r="D109" s="15">
        <v>0.77290135824978301</v>
      </c>
      <c r="E109" s="14">
        <f t="shared" si="2"/>
        <v>146812.53485734641</v>
      </c>
      <c r="F109" s="14">
        <f t="shared" si="3"/>
        <v>33340.92725800976</v>
      </c>
      <c r="G109" s="26"/>
      <c r="H109" s="26"/>
      <c r="I109" s="26"/>
      <c r="J109" s="26"/>
      <c r="K109" s="26"/>
    </row>
    <row r="110" spans="1:11">
      <c r="A110" s="26"/>
      <c r="B110" s="16">
        <v>100</v>
      </c>
      <c r="C110" s="15">
        <v>0.26770049740898072</v>
      </c>
      <c r="D110" s="15">
        <v>0.73229950259101928</v>
      </c>
      <c r="E110" s="14">
        <f t="shared" si="2"/>
        <v>113471.60759933665</v>
      </c>
      <c r="F110" s="14">
        <f t="shared" si="3"/>
        <v>30376.405796139097</v>
      </c>
      <c r="G110" s="26"/>
      <c r="H110" s="26"/>
      <c r="I110" s="26"/>
      <c r="J110" s="26"/>
      <c r="K110" s="26"/>
    </row>
    <row r="111" spans="1:11">
      <c r="A111" s="26"/>
      <c r="B111" s="16">
        <v>101</v>
      </c>
      <c r="C111" s="15">
        <v>0.32489000000000001</v>
      </c>
      <c r="D111" s="15">
        <v>0.67510999999999999</v>
      </c>
      <c r="E111" s="14">
        <f t="shared" si="2"/>
        <v>83095.20180319756</v>
      </c>
      <c r="F111" s="14">
        <f t="shared" si="3"/>
        <v>26996.800113840858</v>
      </c>
      <c r="G111" s="26"/>
      <c r="H111" s="26"/>
      <c r="I111" s="26"/>
      <c r="J111" s="26"/>
      <c r="K111" s="26"/>
    </row>
    <row r="112" spans="1:11">
      <c r="A112" s="26"/>
      <c r="B112" s="16">
        <v>102</v>
      </c>
      <c r="C112" s="15">
        <v>0.34756999999999999</v>
      </c>
      <c r="D112" s="15">
        <v>0.65243000000000007</v>
      </c>
      <c r="E112" s="14">
        <f t="shared" si="2"/>
        <v>56098.401689356702</v>
      </c>
      <c r="F112" s="14">
        <f t="shared" si="3"/>
        <v>19498.121475169708</v>
      </c>
      <c r="G112" s="26"/>
      <c r="H112" s="26"/>
      <c r="I112" s="26"/>
      <c r="J112" s="26"/>
      <c r="K112" s="26"/>
    </row>
    <row r="113" spans="1:11">
      <c r="A113" s="26"/>
      <c r="B113" s="16">
        <v>103</v>
      </c>
      <c r="C113" s="15">
        <v>0.37183499999999997</v>
      </c>
      <c r="D113" s="15">
        <v>0.62816500000000008</v>
      </c>
      <c r="E113" s="14">
        <f t="shared" si="2"/>
        <v>36600.280214186991</v>
      </c>
      <c r="F113" s="14">
        <f t="shared" si="3"/>
        <v>13609.265193442219</v>
      </c>
      <c r="G113" s="26"/>
      <c r="H113" s="26"/>
      <c r="I113" s="26"/>
      <c r="J113" s="26"/>
      <c r="K113" s="26"/>
    </row>
    <row r="114" spans="1:11">
      <c r="A114" s="26"/>
      <c r="B114" s="16">
        <v>104</v>
      </c>
      <c r="C114" s="15">
        <v>0.39779300000000001</v>
      </c>
      <c r="D114" s="15">
        <v>0.60220699999999994</v>
      </c>
      <c r="E114" s="14">
        <f t="shared" si="2"/>
        <v>22991.015020744773</v>
      </c>
      <c r="F114" s="14">
        <f t="shared" si="3"/>
        <v>9145.6648381471259</v>
      </c>
      <c r="G114" s="26"/>
      <c r="H114" s="26"/>
      <c r="I114" s="26"/>
      <c r="J114" s="26"/>
      <c r="K114" s="26"/>
    </row>
    <row r="115" spans="1:11">
      <c r="A115" s="26"/>
      <c r="B115" s="16">
        <v>105</v>
      </c>
      <c r="C115" s="15">
        <v>0.42556299999999997</v>
      </c>
      <c r="D115" s="15">
        <v>0.57443700000000009</v>
      </c>
      <c r="E115" s="14">
        <f t="shared" si="2"/>
        <v>13845.350182597647</v>
      </c>
      <c r="F115" s="14">
        <f t="shared" si="3"/>
        <v>5892.0687597568021</v>
      </c>
      <c r="G115" s="26"/>
      <c r="H115" s="26"/>
      <c r="I115" s="26"/>
      <c r="J115" s="26"/>
      <c r="K115" s="26"/>
    </row>
    <row r="116" spans="1:11">
      <c r="A116" s="26"/>
      <c r="B116" s="16">
        <v>106</v>
      </c>
      <c r="C116" s="15">
        <v>0.45527200000000001</v>
      </c>
      <c r="D116" s="15">
        <v>0.54472799999999999</v>
      </c>
      <c r="E116" s="14">
        <f t="shared" si="2"/>
        <v>7953.2814228408452</v>
      </c>
      <c r="F116" s="14">
        <f t="shared" si="3"/>
        <v>3620.9063399395973</v>
      </c>
      <c r="G116" s="26"/>
      <c r="H116" s="26"/>
      <c r="I116" s="26"/>
      <c r="J116" s="26"/>
      <c r="K116" s="26"/>
    </row>
    <row r="117" spans="1:11">
      <c r="A117" s="26"/>
      <c r="B117" s="16">
        <v>107</v>
      </c>
      <c r="C117" s="15">
        <v>0.48705500000000002</v>
      </c>
      <c r="D117" s="15">
        <v>0.51294499999999998</v>
      </c>
      <c r="E117" s="14">
        <f t="shared" si="2"/>
        <v>4332.3750829012479</v>
      </c>
      <c r="F117" s="14">
        <f t="shared" si="3"/>
        <v>2110.1049460024674</v>
      </c>
      <c r="G117" s="26"/>
      <c r="H117" s="26"/>
      <c r="I117" s="26"/>
      <c r="J117" s="26"/>
      <c r="K117" s="26"/>
    </row>
    <row r="118" spans="1:11">
      <c r="A118" s="26"/>
      <c r="B118" s="16">
        <v>108</v>
      </c>
      <c r="C118" s="15">
        <v>0.51080099999999995</v>
      </c>
      <c r="D118" s="15">
        <v>0.48919900000000005</v>
      </c>
      <c r="E118" s="14">
        <f t="shared" si="2"/>
        <v>2222.2701368987805</v>
      </c>
      <c r="F118" s="14">
        <f t="shared" si="3"/>
        <v>1135.1378081980338</v>
      </c>
      <c r="G118" s="26"/>
      <c r="H118" s="26"/>
      <c r="I118" s="26"/>
      <c r="J118" s="26"/>
      <c r="K118" s="26"/>
    </row>
    <row r="119" spans="1:11">
      <c r="A119" s="26"/>
      <c r="B119" s="16">
        <v>109</v>
      </c>
      <c r="C119" s="15">
        <v>0.53570399999999996</v>
      </c>
      <c r="D119" s="15">
        <v>0.46429600000000004</v>
      </c>
      <c r="E119" s="14">
        <f t="shared" si="2"/>
        <v>1087.1323287007467</v>
      </c>
      <c r="F119" s="14">
        <f t="shared" si="3"/>
        <v>582.38113701430473</v>
      </c>
      <c r="G119" s="26"/>
      <c r="H119" s="26"/>
      <c r="I119" s="26"/>
      <c r="J119" s="26"/>
      <c r="K119" s="26"/>
    </row>
    <row r="120" spans="1:11">
      <c r="A120" s="26"/>
      <c r="B120" s="16">
        <v>110</v>
      </c>
      <c r="C120" s="15">
        <v>0.56182100000000001</v>
      </c>
      <c r="D120" s="15">
        <v>0.43817899999999999</v>
      </c>
      <c r="E120" s="14">
        <f t="shared" si="2"/>
        <v>504.75119168644198</v>
      </c>
      <c r="F120" s="14">
        <f t="shared" si="3"/>
        <v>283.57981926446854</v>
      </c>
      <c r="G120" s="26"/>
      <c r="H120" s="26"/>
      <c r="I120" s="26"/>
      <c r="J120" s="26"/>
      <c r="K120" s="26"/>
    </row>
    <row r="121" spans="1:11">
      <c r="A121" s="26"/>
      <c r="B121" s="16">
        <v>111</v>
      </c>
      <c r="C121" s="15">
        <v>0.58921100000000004</v>
      </c>
      <c r="D121" s="15">
        <v>0.41078899999999996</v>
      </c>
      <c r="E121" s="14">
        <f t="shared" si="2"/>
        <v>221.17137242197344</v>
      </c>
      <c r="F121" s="14">
        <f t="shared" si="3"/>
        <v>130.31660551612342</v>
      </c>
      <c r="G121" s="26"/>
      <c r="H121" s="26"/>
      <c r="I121" s="26"/>
      <c r="J121" s="26"/>
      <c r="K121" s="26"/>
    </row>
    <row r="122" spans="1:11">
      <c r="A122" s="26"/>
      <c r="B122" s="16">
        <v>112</v>
      </c>
      <c r="C122" s="15">
        <v>0.61793699999999996</v>
      </c>
      <c r="D122" s="15">
        <v>0.38206300000000004</v>
      </c>
      <c r="E122" s="14">
        <f t="shared" si="2"/>
        <v>90.854766905850028</v>
      </c>
      <c r="F122" s="14">
        <f t="shared" si="3"/>
        <v>56.142522097500247</v>
      </c>
      <c r="G122" s="26"/>
      <c r="H122" s="26"/>
      <c r="I122" s="26"/>
      <c r="J122" s="26"/>
      <c r="K122" s="26"/>
    </row>
    <row r="123" spans="1:11">
      <c r="A123" s="26"/>
      <c r="B123" s="16">
        <v>113</v>
      </c>
      <c r="C123" s="15">
        <v>0.64806399999999997</v>
      </c>
      <c r="D123" s="15">
        <v>0.35193600000000003</v>
      </c>
      <c r="E123" s="14">
        <f t="shared" si="2"/>
        <v>34.71224480834978</v>
      </c>
      <c r="F123" s="14">
        <f t="shared" si="3"/>
        <v>22.495756219478391</v>
      </c>
      <c r="G123" s="26"/>
      <c r="H123" s="26"/>
      <c r="I123" s="26"/>
      <c r="J123" s="26"/>
      <c r="K123" s="26"/>
    </row>
    <row r="124" spans="1:11">
      <c r="A124" s="26"/>
      <c r="B124" s="16">
        <v>114</v>
      </c>
      <c r="C124" s="15">
        <v>0.67965900000000001</v>
      </c>
      <c r="D124" s="15">
        <v>0.32034099999999999</v>
      </c>
      <c r="E124" s="14">
        <f t="shared" si="2"/>
        <v>12.216488588871389</v>
      </c>
      <c r="F124" s="14">
        <f t="shared" si="3"/>
        <v>8.3030464178237402</v>
      </c>
      <c r="G124" s="26"/>
      <c r="H124" s="26"/>
      <c r="I124" s="26"/>
      <c r="J124" s="26"/>
      <c r="K124" s="26"/>
    </row>
    <row r="125" spans="1:11">
      <c r="A125" s="26"/>
      <c r="B125" s="16">
        <v>115</v>
      </c>
      <c r="C125" s="15">
        <v>1</v>
      </c>
      <c r="D125" s="15">
        <v>0</v>
      </c>
      <c r="E125" s="14">
        <f t="shared" si="2"/>
        <v>3.9134421710476488</v>
      </c>
      <c r="F125" s="14">
        <f t="shared" si="3"/>
        <v>3.9134421710476488</v>
      </c>
      <c r="G125" s="26"/>
      <c r="H125" s="26"/>
      <c r="I125" s="26"/>
      <c r="J125" s="26"/>
      <c r="K125" s="26"/>
    </row>
    <row r="126" spans="1:11">
      <c r="A126" s="26"/>
      <c r="B126" s="26"/>
      <c r="C126" s="26"/>
      <c r="D126" s="26"/>
      <c r="E126" s="26"/>
      <c r="F126" s="26"/>
      <c r="G126" s="26"/>
      <c r="H126" s="26"/>
      <c r="I126" s="26"/>
      <c r="J126" s="26"/>
      <c r="K126" s="26"/>
    </row>
    <row r="127" spans="1:11">
      <c r="A127" s="26"/>
      <c r="B127" s="26"/>
      <c r="C127" s="26"/>
      <c r="D127" s="26"/>
      <c r="E127" s="26"/>
      <c r="F127" s="26"/>
      <c r="G127" s="26"/>
      <c r="H127" s="26"/>
      <c r="I127" s="26"/>
      <c r="J127" s="26"/>
      <c r="K127" s="26"/>
    </row>
    <row r="128" spans="1:11">
      <c r="A128" s="26"/>
      <c r="B128" s="26"/>
      <c r="C128" s="26"/>
      <c r="D128" s="26"/>
      <c r="E128" s="26"/>
      <c r="F128" s="26"/>
      <c r="G128" s="26"/>
      <c r="H128" s="26"/>
      <c r="I128" s="26"/>
      <c r="J128" s="26"/>
      <c r="K128" s="26"/>
    </row>
    <row r="129" spans="1:11">
      <c r="A129" s="26"/>
      <c r="B129" s="26"/>
      <c r="C129" s="26"/>
      <c r="D129" s="26"/>
      <c r="E129" s="26"/>
      <c r="F129" s="26"/>
      <c r="G129" s="26"/>
      <c r="H129" s="26"/>
      <c r="I129" s="26"/>
      <c r="J129" s="26"/>
      <c r="K129" s="26"/>
    </row>
    <row r="130" spans="1:11">
      <c r="A130" s="26"/>
      <c r="B130" s="26"/>
      <c r="C130" s="26"/>
      <c r="D130" s="26"/>
      <c r="E130" s="26"/>
      <c r="F130" s="26"/>
      <c r="G130" s="26"/>
      <c r="H130" s="26"/>
      <c r="I130" s="26"/>
      <c r="J130" s="26"/>
      <c r="K130" s="26"/>
    </row>
  </sheetData>
  <mergeCells count="1">
    <mergeCell ref="B2:F2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r">
                <anchor moveWithCells="1" sizeWithCells="1">
                  <from>
                    <xdr:col>3</xdr:col>
                    <xdr:colOff>469900</xdr:colOff>
                    <xdr:row>3</xdr:row>
                    <xdr:rowOff>25400</xdr:rowOff>
                  </from>
                  <to>
                    <xdr:col>5</xdr:col>
                    <xdr:colOff>25400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Base!$Q$2:$Q$3</xm:f>
          </x14:formula1>
          <xm:sqref>C4</xm:sqref>
        </x14:dataValidation>
        <x14:dataValidation type="list" showInputMessage="1" showErrorMessage="1">
          <x14:formula1>
            <xm:f>Base!$R$2:$R$3</xm:f>
          </x14:formula1>
          <xm:sqref>C6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2:R122"/>
  <sheetViews>
    <sheetView workbookViewId="0">
      <selection activeCell="P13" sqref="P13"/>
    </sheetView>
  </sheetViews>
  <sheetFormatPr baseColWidth="10" defaultRowHeight="15" x14ac:dyDescent="0"/>
  <cols>
    <col min="5" max="5" width="9.1640625" bestFit="1" customWidth="1"/>
    <col min="6" max="6" width="8.33203125" bestFit="1" customWidth="1"/>
    <col min="14" max="14" width="14.33203125" customWidth="1"/>
    <col min="17" max="17" width="12.83203125" bestFit="1" customWidth="1"/>
  </cols>
  <sheetData>
    <row r="2" spans="1:18" ht="20">
      <c r="B2" s="10" t="s">
        <v>6</v>
      </c>
      <c r="D2" t="s">
        <v>10</v>
      </c>
      <c r="H2" s="10" t="s">
        <v>7</v>
      </c>
      <c r="J2" t="s">
        <v>9</v>
      </c>
      <c r="Q2" t="s">
        <v>15</v>
      </c>
      <c r="R2" t="s">
        <v>19</v>
      </c>
    </row>
    <row r="3" spans="1:18" ht="16" thickBot="1">
      <c r="Q3" t="s">
        <v>16</v>
      </c>
      <c r="R3" t="s">
        <v>20</v>
      </c>
    </row>
    <row r="4" spans="1:18" ht="32" customHeight="1" thickBot="1">
      <c r="B4" s="1" t="s">
        <v>0</v>
      </c>
      <c r="C4" s="20" t="s">
        <v>1</v>
      </c>
      <c r="D4" s="21"/>
      <c r="E4" s="22" t="s">
        <v>2</v>
      </c>
      <c r="F4" s="23"/>
      <c r="H4" s="1" t="s">
        <v>0</v>
      </c>
      <c r="I4" s="20" t="s">
        <v>1</v>
      </c>
      <c r="J4" s="21"/>
      <c r="K4" s="22" t="s">
        <v>8</v>
      </c>
      <c r="L4" s="23"/>
    </row>
    <row r="5" spans="1:18" ht="31" thickBot="1">
      <c r="B5" s="2" t="s">
        <v>3</v>
      </c>
      <c r="C5" s="3" t="s">
        <v>4</v>
      </c>
      <c r="D5" s="3" t="s">
        <v>5</v>
      </c>
      <c r="E5" s="3" t="s">
        <v>4</v>
      </c>
      <c r="F5" s="3" t="s">
        <v>5</v>
      </c>
      <c r="H5" s="2" t="s">
        <v>3</v>
      </c>
      <c r="I5" s="3" t="s">
        <v>4</v>
      </c>
      <c r="J5" s="3" t="s">
        <v>5</v>
      </c>
      <c r="K5" s="3" t="s">
        <v>4</v>
      </c>
      <c r="L5" s="3" t="s">
        <v>5</v>
      </c>
    </row>
    <row r="6" spans="1:18" ht="16" thickBot="1">
      <c r="B6" s="4"/>
      <c r="C6" s="5"/>
      <c r="D6" s="5"/>
      <c r="E6" s="5"/>
      <c r="F6" s="5"/>
      <c r="H6" s="4"/>
      <c r="I6" s="5"/>
      <c r="J6" s="5"/>
      <c r="K6" s="5"/>
      <c r="L6" s="5"/>
    </row>
    <row r="7" spans="1:18" ht="16" thickBot="1">
      <c r="A7">
        <v>0</v>
      </c>
      <c r="B7" s="6">
        <v>2000</v>
      </c>
      <c r="C7" s="7">
        <v>6.4870000000000001</v>
      </c>
      <c r="D7" s="7">
        <v>3.633</v>
      </c>
      <c r="E7" s="7">
        <v>0</v>
      </c>
      <c r="F7" s="7">
        <v>0.04</v>
      </c>
      <c r="H7" s="6">
        <v>2000</v>
      </c>
      <c r="I7" s="7">
        <v>5.742</v>
      </c>
      <c r="J7" s="7">
        <v>3.2149999999999999</v>
      </c>
      <c r="K7" s="7">
        <v>1.4999999999999999E-2</v>
      </c>
      <c r="L7" s="7">
        <v>0.04</v>
      </c>
      <c r="N7" s="13"/>
    </row>
    <row r="8" spans="1:18" ht="16" thickBot="1">
      <c r="A8">
        <v>1</v>
      </c>
      <c r="B8" s="6">
        <v>1999</v>
      </c>
      <c r="C8" s="7">
        <v>0.63800000000000001</v>
      </c>
      <c r="D8" s="7">
        <v>0.29799999999999999</v>
      </c>
      <c r="E8" s="7">
        <v>0</v>
      </c>
      <c r="F8" s="7">
        <v>0.04</v>
      </c>
      <c r="H8" s="6">
        <v>1999</v>
      </c>
      <c r="I8" s="7">
        <v>0.56499999999999995</v>
      </c>
      <c r="J8" s="7">
        <v>0.26400000000000001</v>
      </c>
      <c r="K8" s="7">
        <v>1.4999999999999999E-2</v>
      </c>
      <c r="L8" s="7">
        <v>0.04</v>
      </c>
      <c r="N8" s="13"/>
      <c r="Q8" s="12"/>
    </row>
    <row r="9" spans="1:18" ht="16" thickBot="1">
      <c r="A9">
        <v>2</v>
      </c>
      <c r="B9" s="6">
        <v>1998</v>
      </c>
      <c r="C9" s="7">
        <v>0.33900000000000002</v>
      </c>
      <c r="D9" s="7">
        <v>0.221</v>
      </c>
      <c r="E9" s="7">
        <v>0</v>
      </c>
      <c r="F9" s="7">
        <v>0.04</v>
      </c>
      <c r="H9" s="6">
        <v>1998</v>
      </c>
      <c r="I9" s="7">
        <v>0.3</v>
      </c>
      <c r="J9" s="7">
        <v>0.19600000000000001</v>
      </c>
      <c r="K9" s="7">
        <v>1.4999999999999999E-2</v>
      </c>
      <c r="L9" s="7">
        <v>0.04</v>
      </c>
      <c r="N9" s="13"/>
      <c r="Q9" s="12"/>
    </row>
    <row r="10" spans="1:18" ht="16" thickBot="1">
      <c r="A10">
        <v>3</v>
      </c>
      <c r="B10" s="6">
        <v>1997</v>
      </c>
      <c r="C10" s="7">
        <v>0.3</v>
      </c>
      <c r="D10" s="7">
        <v>0.14899999999999999</v>
      </c>
      <c r="E10" s="7">
        <v>0</v>
      </c>
      <c r="F10" s="7">
        <v>0.04</v>
      </c>
      <c r="H10" s="6">
        <v>1997</v>
      </c>
      <c r="I10" s="7">
        <v>0.26600000000000001</v>
      </c>
      <c r="J10" s="7">
        <v>0.13200000000000001</v>
      </c>
      <c r="K10" s="7">
        <v>1.4999999999999999E-2</v>
      </c>
      <c r="L10" s="7">
        <v>0.04</v>
      </c>
      <c r="N10" s="13"/>
      <c r="Q10" s="12"/>
    </row>
    <row r="11" spans="1:18" ht="16" thickBot="1">
      <c r="A11">
        <v>4</v>
      </c>
      <c r="B11" s="6">
        <v>1996</v>
      </c>
      <c r="C11" s="7">
        <v>0.254</v>
      </c>
      <c r="D11" s="7">
        <v>0.14399999999999999</v>
      </c>
      <c r="E11" s="7">
        <v>0</v>
      </c>
      <c r="F11" s="7">
        <v>0.04</v>
      </c>
      <c r="H11" s="6">
        <v>1996</v>
      </c>
      <c r="I11" s="7">
        <v>0.22500000000000001</v>
      </c>
      <c r="J11" s="7">
        <v>0.128</v>
      </c>
      <c r="K11" s="7">
        <v>1.4999999999999999E-2</v>
      </c>
      <c r="L11" s="7">
        <v>0.04</v>
      </c>
      <c r="N11" s="13"/>
      <c r="Q11" s="12"/>
    </row>
    <row r="12" spans="1:18" ht="16" thickBot="1">
      <c r="A12">
        <v>5</v>
      </c>
      <c r="B12" s="6">
        <v>1995</v>
      </c>
      <c r="C12" s="7">
        <v>0.247</v>
      </c>
      <c r="D12" s="7">
        <v>0.11899999999999999</v>
      </c>
      <c r="E12" s="7">
        <v>0</v>
      </c>
      <c r="F12" s="7">
        <v>0.04</v>
      </c>
      <c r="H12" s="6">
        <v>1995</v>
      </c>
      <c r="I12" s="7">
        <v>0.218</v>
      </c>
      <c r="J12" s="7">
        <v>0.105</v>
      </c>
      <c r="K12" s="7">
        <v>1.4999999999999999E-2</v>
      </c>
      <c r="L12" s="7">
        <v>0.04</v>
      </c>
      <c r="N12" s="13"/>
      <c r="Q12" s="12"/>
    </row>
    <row r="13" spans="1:18" ht="16" thickBot="1">
      <c r="A13">
        <v>6</v>
      </c>
      <c r="B13" s="6">
        <v>1994</v>
      </c>
      <c r="C13" s="7">
        <v>0.223</v>
      </c>
      <c r="D13" s="7">
        <v>0.108</v>
      </c>
      <c r="E13" s="7">
        <v>0</v>
      </c>
      <c r="F13" s="7">
        <v>0.04</v>
      </c>
      <c r="H13" s="6">
        <v>1994</v>
      </c>
      <c r="I13" s="7">
        <v>0.19800000000000001</v>
      </c>
      <c r="J13" s="7">
        <v>9.6000000000000002E-2</v>
      </c>
      <c r="K13" s="7">
        <v>1.4999999999999999E-2</v>
      </c>
      <c r="L13" s="7">
        <v>0.04</v>
      </c>
      <c r="N13" s="13"/>
      <c r="Q13" s="12"/>
    </row>
    <row r="14" spans="1:18" ht="16" thickBot="1">
      <c r="A14">
        <v>7</v>
      </c>
      <c r="B14" s="6">
        <v>1993</v>
      </c>
      <c r="C14" s="7">
        <v>0.216</v>
      </c>
      <c r="D14" s="7">
        <v>9.8000000000000004E-2</v>
      </c>
      <c r="E14" s="7">
        <v>0</v>
      </c>
      <c r="F14" s="7">
        <v>0.04</v>
      </c>
      <c r="H14" s="6">
        <v>1993</v>
      </c>
      <c r="I14" s="7">
        <v>0.191</v>
      </c>
      <c r="J14" s="7">
        <v>8.6999999999999994E-2</v>
      </c>
      <c r="K14" s="7">
        <v>1.4999999999999999E-2</v>
      </c>
      <c r="L14" s="7">
        <v>0.04</v>
      </c>
      <c r="N14" s="13"/>
      <c r="Q14" s="12"/>
    </row>
    <row r="15" spans="1:18" ht="16" thickBot="1">
      <c r="A15">
        <v>8</v>
      </c>
      <c r="B15" s="6">
        <v>1992</v>
      </c>
      <c r="C15" s="7">
        <v>0.2</v>
      </c>
      <c r="D15" s="7">
        <v>8.3000000000000004E-2</v>
      </c>
      <c r="E15" s="7">
        <v>0</v>
      </c>
      <c r="F15" s="7">
        <v>0.04</v>
      </c>
      <c r="H15" s="6">
        <v>1992</v>
      </c>
      <c r="I15" s="7">
        <v>0.17699999999999999</v>
      </c>
      <c r="J15" s="7">
        <v>7.2999999999999995E-2</v>
      </c>
      <c r="K15" s="7">
        <v>1.4999999999999999E-2</v>
      </c>
      <c r="L15" s="7">
        <v>0.04</v>
      </c>
      <c r="N15" s="13"/>
      <c r="Q15" s="12"/>
    </row>
    <row r="16" spans="1:18" ht="16" thickBot="1">
      <c r="A16">
        <v>9</v>
      </c>
      <c r="B16" s="6">
        <v>1991</v>
      </c>
      <c r="C16" s="7">
        <v>0.193</v>
      </c>
      <c r="D16" s="7">
        <v>7.6999999999999999E-2</v>
      </c>
      <c r="E16" s="7">
        <v>0</v>
      </c>
      <c r="F16" s="7">
        <v>0.04</v>
      </c>
      <c r="H16" s="6">
        <v>1991</v>
      </c>
      <c r="I16" s="7">
        <v>0.17100000000000001</v>
      </c>
      <c r="J16" s="7">
        <v>6.8000000000000005E-2</v>
      </c>
      <c r="K16" s="7">
        <v>1.4999999999999999E-2</v>
      </c>
      <c r="L16" s="7">
        <v>0.04</v>
      </c>
      <c r="N16" s="13"/>
      <c r="Q16" s="12"/>
    </row>
    <row r="17" spans="1:17" ht="16" thickBot="1">
      <c r="A17">
        <v>10</v>
      </c>
      <c r="B17" s="6">
        <v>1990</v>
      </c>
      <c r="C17" s="7">
        <v>0.185</v>
      </c>
      <c r="D17" s="7">
        <v>8.3000000000000004E-2</v>
      </c>
      <c r="E17" s="7">
        <v>0</v>
      </c>
      <c r="F17" s="7">
        <v>0.04</v>
      </c>
      <c r="H17" s="6">
        <v>1990</v>
      </c>
      <c r="I17" s="7">
        <v>0.16400000000000001</v>
      </c>
      <c r="J17" s="7">
        <v>7.2999999999999995E-2</v>
      </c>
      <c r="K17" s="7">
        <v>1.4999999999999999E-2</v>
      </c>
      <c r="L17" s="7">
        <v>0.04</v>
      </c>
      <c r="N17" s="13"/>
      <c r="Q17" s="12"/>
    </row>
    <row r="18" spans="1:17" ht="16" thickBot="1">
      <c r="A18">
        <v>11</v>
      </c>
      <c r="B18" s="6">
        <v>1989</v>
      </c>
      <c r="C18" s="7">
        <v>0.20100000000000001</v>
      </c>
      <c r="D18" s="7">
        <v>0.10299999999999999</v>
      </c>
      <c r="E18" s="7">
        <v>0</v>
      </c>
      <c r="F18" s="7">
        <v>0.03</v>
      </c>
      <c r="H18" s="6">
        <v>1989</v>
      </c>
      <c r="I18" s="7">
        <v>0.17799999999999999</v>
      </c>
      <c r="J18" s="7">
        <v>9.0999999999999998E-2</v>
      </c>
      <c r="K18" s="7">
        <v>1.4999999999999999E-2</v>
      </c>
      <c r="L18" s="7">
        <v>0.03</v>
      </c>
      <c r="N18" s="13"/>
      <c r="Q18" s="12"/>
    </row>
    <row r="19" spans="1:17" ht="16" thickBot="1">
      <c r="A19">
        <v>12</v>
      </c>
      <c r="B19" s="6">
        <v>1988</v>
      </c>
      <c r="C19" s="7">
        <v>0.20799999999999999</v>
      </c>
      <c r="D19" s="7">
        <v>0.12</v>
      </c>
      <c r="E19" s="7">
        <v>0</v>
      </c>
      <c r="F19" s="7">
        <v>0.03</v>
      </c>
      <c r="H19" s="6">
        <v>1988</v>
      </c>
      <c r="I19" s="7">
        <v>0.184</v>
      </c>
      <c r="J19" s="7">
        <v>0.106</v>
      </c>
      <c r="K19" s="7">
        <v>1.4999999999999999E-2</v>
      </c>
      <c r="L19" s="7">
        <v>0.03</v>
      </c>
      <c r="N19" s="13"/>
      <c r="Q19" s="12"/>
    </row>
    <row r="20" spans="1:17" ht="16" thickBot="1">
      <c r="A20">
        <v>13</v>
      </c>
      <c r="B20" s="6">
        <v>1987</v>
      </c>
      <c r="C20" s="7">
        <v>0.247</v>
      </c>
      <c r="D20" s="7">
        <v>0.13500000000000001</v>
      </c>
      <c r="E20" s="7">
        <v>0</v>
      </c>
      <c r="F20" s="7">
        <v>2.7E-2</v>
      </c>
      <c r="H20" s="6">
        <v>1987</v>
      </c>
      <c r="I20" s="7">
        <v>0.219</v>
      </c>
      <c r="J20" s="7">
        <v>0.12</v>
      </c>
      <c r="K20" s="7">
        <v>1.4999999999999999E-2</v>
      </c>
      <c r="L20" s="7">
        <v>2.7E-2</v>
      </c>
      <c r="N20" s="13"/>
      <c r="Q20" s="12"/>
    </row>
    <row r="21" spans="1:17" ht="16" thickBot="1">
      <c r="A21">
        <v>14</v>
      </c>
      <c r="B21" s="6">
        <v>1986</v>
      </c>
      <c r="C21" s="7">
        <v>0.30099999999999999</v>
      </c>
      <c r="D21" s="7">
        <v>0.14099999999999999</v>
      </c>
      <c r="E21" s="7">
        <v>0</v>
      </c>
      <c r="F21" s="7">
        <v>2.7E-2</v>
      </c>
      <c r="H21" s="6">
        <v>1986</v>
      </c>
      <c r="I21" s="7">
        <v>0.26700000000000002</v>
      </c>
      <c r="J21" s="7">
        <v>0.125</v>
      </c>
      <c r="K21" s="7">
        <v>1.4999999999999999E-2</v>
      </c>
      <c r="L21" s="7">
        <v>2.7E-2</v>
      </c>
      <c r="N21" s="13"/>
      <c r="Q21" s="12"/>
    </row>
    <row r="22" spans="1:17" ht="16" thickBot="1">
      <c r="A22">
        <v>15</v>
      </c>
      <c r="B22" s="6">
        <v>1985</v>
      </c>
      <c r="C22" s="7">
        <v>0.41</v>
      </c>
      <c r="D22" s="7">
        <v>0.153</v>
      </c>
      <c r="E22" s="7">
        <v>0</v>
      </c>
      <c r="F22" s="7">
        <v>2.7E-2</v>
      </c>
      <c r="H22" s="6">
        <v>1985</v>
      </c>
      <c r="I22" s="7">
        <v>0.36199999999999999</v>
      </c>
      <c r="J22" s="7">
        <v>0.13500000000000001</v>
      </c>
      <c r="K22" s="7">
        <v>1.4999999999999999E-2</v>
      </c>
      <c r="L22" s="7">
        <v>2.7E-2</v>
      </c>
      <c r="N22" s="13"/>
      <c r="Q22" s="12"/>
    </row>
    <row r="23" spans="1:17" ht="16" thickBot="1">
      <c r="A23">
        <v>16</v>
      </c>
      <c r="B23" s="6">
        <v>1984</v>
      </c>
      <c r="C23" s="7">
        <v>0.57199999999999995</v>
      </c>
      <c r="D23" s="7">
        <v>0.17699999999999999</v>
      </c>
      <c r="E23" s="7">
        <v>0</v>
      </c>
      <c r="F23" s="7">
        <v>2.7E-2</v>
      </c>
      <c r="H23" s="6">
        <v>1984</v>
      </c>
      <c r="I23" s="7">
        <v>0.50600000000000001</v>
      </c>
      <c r="J23" s="7">
        <v>0.156</v>
      </c>
      <c r="K23" s="7">
        <v>1.4999999999999999E-2</v>
      </c>
      <c r="L23" s="7">
        <v>2.7E-2</v>
      </c>
      <c r="N23" s="13"/>
      <c r="Q23" s="12"/>
    </row>
    <row r="24" spans="1:17" ht="16" thickBot="1">
      <c r="A24">
        <v>17</v>
      </c>
      <c r="B24" s="6">
        <v>1983</v>
      </c>
      <c r="C24" s="7">
        <v>0.74299999999999999</v>
      </c>
      <c r="D24" s="7">
        <v>0.20599999999999999</v>
      </c>
      <c r="E24" s="7">
        <v>0</v>
      </c>
      <c r="F24" s="7">
        <v>2.7E-2</v>
      </c>
      <c r="H24" s="6">
        <v>1983</v>
      </c>
      <c r="I24" s="7">
        <v>0.65700000000000003</v>
      </c>
      <c r="J24" s="7">
        <v>0.182</v>
      </c>
      <c r="K24" s="7">
        <v>1.4999999999999999E-2</v>
      </c>
      <c r="L24" s="7">
        <v>2.7E-2</v>
      </c>
      <c r="N24" s="13"/>
      <c r="Q24" s="12"/>
    </row>
    <row r="25" spans="1:17" ht="16" thickBot="1">
      <c r="A25">
        <v>18</v>
      </c>
      <c r="B25" s="6">
        <v>1982</v>
      </c>
      <c r="C25" s="7">
        <v>0.875</v>
      </c>
      <c r="D25" s="7">
        <v>0.224</v>
      </c>
      <c r="E25" s="7">
        <v>0</v>
      </c>
      <c r="F25" s="7">
        <v>2.7E-2</v>
      </c>
      <c r="H25" s="6">
        <v>1982</v>
      </c>
      <c r="I25" s="7">
        <v>0.77400000000000002</v>
      </c>
      <c r="J25" s="7">
        <v>0.19800000000000001</v>
      </c>
      <c r="K25" s="7">
        <v>1.4999999999999999E-2</v>
      </c>
      <c r="L25" s="7">
        <v>2.7E-2</v>
      </c>
      <c r="N25" s="13"/>
      <c r="Q25" s="12"/>
    </row>
    <row r="26" spans="1:17" ht="16" thickBot="1">
      <c r="A26">
        <v>19</v>
      </c>
      <c r="B26" s="6">
        <v>1981</v>
      </c>
      <c r="C26" s="7">
        <v>0.98499999999999999</v>
      </c>
      <c r="D26" s="7">
        <v>0.24099999999999999</v>
      </c>
      <c r="E26" s="7">
        <v>0</v>
      </c>
      <c r="F26" s="7">
        <v>2.7E-2</v>
      </c>
      <c r="H26" s="6">
        <v>1981</v>
      </c>
      <c r="I26" s="7">
        <v>0.871</v>
      </c>
      <c r="J26" s="7">
        <v>0.214</v>
      </c>
      <c r="K26" s="7">
        <v>1.4999999999999999E-2</v>
      </c>
      <c r="L26" s="7">
        <v>2.7E-2</v>
      </c>
      <c r="N26" s="13"/>
      <c r="Q26" s="12"/>
    </row>
    <row r="27" spans="1:17" ht="16" thickBot="1">
      <c r="A27">
        <v>20</v>
      </c>
      <c r="B27" s="6">
        <v>1980</v>
      </c>
      <c r="C27" s="7">
        <v>1.1020000000000001</v>
      </c>
      <c r="D27" s="7">
        <v>0.24199999999999999</v>
      </c>
      <c r="E27" s="7">
        <v>0</v>
      </c>
      <c r="F27" s="7">
        <v>2.7E-2</v>
      </c>
      <c r="H27" s="6">
        <v>1980</v>
      </c>
      <c r="I27" s="7">
        <v>0.97599999999999998</v>
      </c>
      <c r="J27" s="7">
        <v>0.214</v>
      </c>
      <c r="K27" s="7">
        <v>1.4999999999999999E-2</v>
      </c>
      <c r="L27" s="7">
        <v>2.7E-2</v>
      </c>
      <c r="N27" s="13"/>
      <c r="Q27" s="12"/>
    </row>
    <row r="28" spans="1:17" ht="16" thickBot="1">
      <c r="A28">
        <v>21</v>
      </c>
      <c r="B28" s="6">
        <v>1979</v>
      </c>
      <c r="C28" s="7">
        <v>1.143</v>
      </c>
      <c r="D28" s="7">
        <v>0.253</v>
      </c>
      <c r="E28" s="7">
        <v>0</v>
      </c>
      <c r="F28" s="7">
        <v>2.7E-2</v>
      </c>
      <c r="H28" s="6">
        <v>1979</v>
      </c>
      <c r="I28" s="7">
        <v>1.0109999999999999</v>
      </c>
      <c r="J28" s="7">
        <v>0.224</v>
      </c>
      <c r="K28" s="7">
        <v>1.4999999999999999E-2</v>
      </c>
      <c r="L28" s="7">
        <v>2.7E-2</v>
      </c>
      <c r="N28" s="13"/>
      <c r="Q28" s="12"/>
    </row>
    <row r="29" spans="1:17" ht="16" thickBot="1">
      <c r="A29">
        <v>22</v>
      </c>
      <c r="B29" s="6">
        <v>1978</v>
      </c>
      <c r="C29" s="7">
        <v>1.222</v>
      </c>
      <c r="D29" s="7">
        <v>0.24199999999999999</v>
      </c>
      <c r="E29" s="7">
        <v>0</v>
      </c>
      <c r="F29" s="7">
        <v>2.7E-2</v>
      </c>
      <c r="H29" s="6">
        <v>1978</v>
      </c>
      <c r="I29" s="7">
        <v>1.0820000000000001</v>
      </c>
      <c r="J29" s="7">
        <v>0.214</v>
      </c>
      <c r="K29" s="7">
        <v>1.4999999999999999E-2</v>
      </c>
      <c r="L29" s="7">
        <v>2.7E-2</v>
      </c>
      <c r="N29" s="13"/>
      <c r="Q29" s="12"/>
    </row>
    <row r="30" spans="1:17" ht="16" thickBot="1">
      <c r="A30">
        <v>23</v>
      </c>
      <c r="B30" s="6">
        <v>1977</v>
      </c>
      <c r="C30" s="7">
        <v>1.2869999999999999</v>
      </c>
      <c r="D30" s="7">
        <v>0.254</v>
      </c>
      <c r="E30" s="7">
        <v>0</v>
      </c>
      <c r="F30" s="7">
        <v>2.7E-2</v>
      </c>
      <c r="H30" s="6">
        <v>1977</v>
      </c>
      <c r="I30" s="7">
        <v>1.139</v>
      </c>
      <c r="J30" s="7">
        <v>0.22500000000000001</v>
      </c>
      <c r="K30" s="7">
        <v>1.4999999999999999E-2</v>
      </c>
      <c r="L30" s="7">
        <v>2.7E-2</v>
      </c>
      <c r="N30" s="13"/>
      <c r="Q30" s="12"/>
    </row>
    <row r="31" spans="1:17" ht="16" thickBot="1">
      <c r="A31">
        <v>24</v>
      </c>
      <c r="B31" s="6">
        <v>1976</v>
      </c>
      <c r="C31" s="7">
        <v>1.3360000000000001</v>
      </c>
      <c r="D31" s="7">
        <v>0.26600000000000001</v>
      </c>
      <c r="E31" s="7">
        <v>0</v>
      </c>
      <c r="F31" s="7">
        <v>2.7E-2</v>
      </c>
      <c r="H31" s="6">
        <v>1976</v>
      </c>
      <c r="I31" s="7">
        <v>1.1819999999999999</v>
      </c>
      <c r="J31" s="7">
        <v>0.23499999999999999</v>
      </c>
      <c r="K31" s="7">
        <v>1.4999999999999999E-2</v>
      </c>
      <c r="L31" s="7">
        <v>2.7E-2</v>
      </c>
      <c r="N31" s="13"/>
      <c r="Q31" s="12"/>
    </row>
    <row r="32" spans="1:17" ht="16" thickBot="1">
      <c r="A32">
        <v>25</v>
      </c>
      <c r="B32" s="6">
        <v>1975</v>
      </c>
      <c r="C32" s="7">
        <v>1.3220000000000001</v>
      </c>
      <c r="D32" s="7">
        <v>0.27200000000000002</v>
      </c>
      <c r="E32" s="7">
        <v>0</v>
      </c>
      <c r="F32" s="7">
        <v>2.7E-2</v>
      </c>
      <c r="H32" s="6">
        <v>1975</v>
      </c>
      <c r="I32" s="7">
        <v>1.17</v>
      </c>
      <c r="J32" s="7">
        <v>0.24</v>
      </c>
      <c r="K32" s="7">
        <v>1.4999999999999999E-2</v>
      </c>
      <c r="L32" s="7">
        <v>2.7E-2</v>
      </c>
      <c r="N32" s="13"/>
      <c r="Q32" s="12"/>
    </row>
    <row r="33" spans="1:17" ht="16" thickBot="1">
      <c r="A33">
        <v>26</v>
      </c>
      <c r="B33" s="6">
        <v>1974</v>
      </c>
      <c r="C33" s="7">
        <v>1.3480000000000001</v>
      </c>
      <c r="D33" s="7">
        <v>0.29499999999999998</v>
      </c>
      <c r="E33" s="7">
        <v>0</v>
      </c>
      <c r="F33" s="7">
        <v>2.7E-2</v>
      </c>
      <c r="H33" s="6">
        <v>1974</v>
      </c>
      <c r="I33" s="7">
        <v>1.1930000000000001</v>
      </c>
      <c r="J33" s="7">
        <v>0.26100000000000001</v>
      </c>
      <c r="K33" s="7">
        <v>1.4999999999999999E-2</v>
      </c>
      <c r="L33" s="7">
        <v>2.7E-2</v>
      </c>
      <c r="N33" s="13"/>
      <c r="Q33" s="12"/>
    </row>
    <row r="34" spans="1:17" ht="16" thickBot="1">
      <c r="A34">
        <v>27</v>
      </c>
      <c r="B34" s="6">
        <v>1973</v>
      </c>
      <c r="C34" s="7">
        <v>1.3979999999999999</v>
      </c>
      <c r="D34" s="7">
        <v>0.32500000000000001</v>
      </c>
      <c r="E34" s="7">
        <v>0</v>
      </c>
      <c r="F34" s="7">
        <v>2.7E-2</v>
      </c>
      <c r="H34" s="6">
        <v>1973</v>
      </c>
      <c r="I34" s="7">
        <v>1.2370000000000001</v>
      </c>
      <c r="J34" s="7">
        <v>0.28799999999999998</v>
      </c>
      <c r="K34" s="7">
        <v>1.4999999999999999E-2</v>
      </c>
      <c r="L34" s="7">
        <v>2.7E-2</v>
      </c>
      <c r="N34" s="13"/>
      <c r="Q34" s="12"/>
    </row>
    <row r="35" spans="1:17" ht="16" thickBot="1">
      <c r="A35">
        <v>28</v>
      </c>
      <c r="B35" s="8">
        <v>1972</v>
      </c>
      <c r="C35" s="9">
        <v>1.448</v>
      </c>
      <c r="D35" s="9">
        <v>0.33700000000000002</v>
      </c>
      <c r="E35" s="9">
        <v>0</v>
      </c>
      <c r="F35" s="9">
        <v>2.7E-2</v>
      </c>
      <c r="H35" s="6">
        <v>1972</v>
      </c>
      <c r="I35" s="7">
        <v>1.2809999999999999</v>
      </c>
      <c r="J35" s="7">
        <v>0.29799999999999999</v>
      </c>
      <c r="K35" s="7">
        <v>1.4999999999999999E-2</v>
      </c>
      <c r="L35" s="7">
        <v>2.7E-2</v>
      </c>
      <c r="N35" s="13"/>
      <c r="Q35" s="12"/>
    </row>
    <row r="36" spans="1:17" ht="16" thickBot="1">
      <c r="A36">
        <v>29</v>
      </c>
      <c r="B36" s="6">
        <v>1971</v>
      </c>
      <c r="C36" s="7">
        <v>1.466</v>
      </c>
      <c r="D36" s="7">
        <v>0.36699999999999999</v>
      </c>
      <c r="E36" s="7">
        <v>0</v>
      </c>
      <c r="F36" s="7">
        <v>2.7E-2</v>
      </c>
      <c r="H36" s="8">
        <v>1971</v>
      </c>
      <c r="I36" s="9">
        <v>1.298</v>
      </c>
      <c r="J36" s="9">
        <v>0.32500000000000001</v>
      </c>
      <c r="K36" s="9">
        <v>1.4999999999999999E-2</v>
      </c>
      <c r="L36" s="9">
        <v>2.7E-2</v>
      </c>
      <c r="N36" s="13"/>
      <c r="Q36" s="12"/>
    </row>
    <row r="37" spans="1:17" ht="16" thickBot="1">
      <c r="A37">
        <v>30</v>
      </c>
      <c r="B37" s="6">
        <v>1970</v>
      </c>
      <c r="C37" s="7">
        <v>1.429</v>
      </c>
      <c r="D37" s="7">
        <v>0.36699999999999999</v>
      </c>
      <c r="E37" s="7">
        <v>0</v>
      </c>
      <c r="F37" s="7">
        <v>2.7E-2</v>
      </c>
      <c r="H37" s="6">
        <v>1970</v>
      </c>
      <c r="I37" s="7">
        <v>1.2649999999999999</v>
      </c>
      <c r="J37" s="7">
        <v>0.32500000000000001</v>
      </c>
      <c r="K37" s="7">
        <v>1.4999999999999999E-2</v>
      </c>
      <c r="L37" s="7">
        <v>2.7E-2</v>
      </c>
      <c r="N37" s="13"/>
      <c r="Q37" s="12"/>
    </row>
    <row r="38" spans="1:17" ht="16" thickBot="1">
      <c r="A38">
        <v>31</v>
      </c>
      <c r="B38" s="6">
        <v>1969</v>
      </c>
      <c r="C38" s="7">
        <v>1.387</v>
      </c>
      <c r="D38" s="7">
        <v>0.373</v>
      </c>
      <c r="E38" s="7">
        <v>1E-3</v>
      </c>
      <c r="F38" s="7">
        <v>2.7E-2</v>
      </c>
      <c r="H38" s="6">
        <v>1969</v>
      </c>
      <c r="I38" s="7">
        <v>1.2270000000000001</v>
      </c>
      <c r="J38" s="7">
        <v>0.33</v>
      </c>
      <c r="K38" s="7">
        <v>1.4999999999999999E-2</v>
      </c>
      <c r="L38" s="7">
        <v>2.7E-2</v>
      </c>
      <c r="N38" s="13"/>
      <c r="Q38" s="12"/>
    </row>
    <row r="39" spans="1:17" ht="16" thickBot="1">
      <c r="A39">
        <v>32</v>
      </c>
      <c r="B39" s="6">
        <v>1968</v>
      </c>
      <c r="C39" s="7">
        <v>1.4139999999999999</v>
      </c>
      <c r="D39" s="7">
        <v>0.35599999999999998</v>
      </c>
      <c r="E39" s="7">
        <v>2E-3</v>
      </c>
      <c r="F39" s="7">
        <v>2.7E-2</v>
      </c>
      <c r="H39" s="6">
        <v>1968</v>
      </c>
      <c r="I39" s="7">
        <v>1.252</v>
      </c>
      <c r="J39" s="7">
        <v>0.315</v>
      </c>
      <c r="K39" s="7">
        <v>1.4999999999999999E-2</v>
      </c>
      <c r="L39" s="7">
        <v>2.7E-2</v>
      </c>
      <c r="N39" s="13"/>
      <c r="Q39" s="12"/>
    </row>
    <row r="40" spans="1:17" ht="16" thickBot="1">
      <c r="A40">
        <v>33</v>
      </c>
      <c r="B40" s="6">
        <v>1967</v>
      </c>
      <c r="C40" s="7">
        <v>1.4179999999999999</v>
      </c>
      <c r="D40" s="7">
        <v>0.34399999999999997</v>
      </c>
      <c r="E40" s="7">
        <v>3.0000000000000001E-3</v>
      </c>
      <c r="F40" s="7">
        <v>2.7E-2</v>
      </c>
      <c r="H40" s="6">
        <v>1967</v>
      </c>
      <c r="I40" s="7">
        <v>1.2549999999999999</v>
      </c>
      <c r="J40" s="7">
        <v>0.30499999999999999</v>
      </c>
      <c r="K40" s="7">
        <v>1.4999999999999999E-2</v>
      </c>
      <c r="L40" s="7">
        <v>2.7E-2</v>
      </c>
      <c r="N40" s="13"/>
      <c r="Q40" s="12"/>
    </row>
    <row r="41" spans="1:17" ht="16" thickBot="1">
      <c r="A41">
        <v>34</v>
      </c>
      <c r="B41" s="6">
        <v>1966</v>
      </c>
      <c r="C41" s="7">
        <v>1.407</v>
      </c>
      <c r="D41" s="7">
        <v>0.374</v>
      </c>
      <c r="E41" s="7">
        <v>4.0000000000000001E-3</v>
      </c>
      <c r="F41" s="7">
        <v>2.7E-2</v>
      </c>
      <c r="H41" s="6">
        <v>1966</v>
      </c>
      <c r="I41" s="7">
        <v>1.2450000000000001</v>
      </c>
      <c r="J41" s="7">
        <v>0.33100000000000002</v>
      </c>
      <c r="K41" s="7">
        <v>1.4999999999999999E-2</v>
      </c>
      <c r="L41" s="7">
        <v>2.7E-2</v>
      </c>
      <c r="N41" s="13"/>
      <c r="Q41" s="12"/>
    </row>
    <row r="42" spans="1:17" ht="16" thickBot="1">
      <c r="A42">
        <v>35</v>
      </c>
      <c r="B42" s="6">
        <v>1965</v>
      </c>
      <c r="C42" s="7">
        <v>1.38</v>
      </c>
      <c r="D42" s="7">
        <v>0.44</v>
      </c>
      <c r="E42" s="7">
        <v>5.0000000000000001E-3</v>
      </c>
      <c r="F42" s="7">
        <v>2.7E-2</v>
      </c>
      <c r="H42" s="6">
        <v>1965</v>
      </c>
      <c r="I42" s="7">
        <v>1.222</v>
      </c>
      <c r="J42" s="7">
        <v>0.38900000000000001</v>
      </c>
      <c r="K42" s="7">
        <v>1.4999999999999999E-2</v>
      </c>
      <c r="L42" s="7">
        <v>2.7E-2</v>
      </c>
      <c r="N42" s="13"/>
      <c r="Q42" s="12"/>
    </row>
    <row r="43" spans="1:17" ht="16" thickBot="1">
      <c r="A43">
        <v>36</v>
      </c>
      <c r="B43" s="6">
        <v>1964</v>
      </c>
      <c r="C43" s="7">
        <v>1.347</v>
      </c>
      <c r="D43" s="7">
        <v>0.45800000000000002</v>
      </c>
      <c r="E43" s="7">
        <v>6.0000000000000001E-3</v>
      </c>
      <c r="F43" s="7">
        <v>2.7E-2</v>
      </c>
      <c r="H43" s="6">
        <v>1964</v>
      </c>
      <c r="I43" s="7">
        <v>1.1919999999999999</v>
      </c>
      <c r="J43" s="7">
        <v>0.40500000000000003</v>
      </c>
      <c r="K43" s="7">
        <v>1.4999999999999999E-2</v>
      </c>
      <c r="L43" s="7">
        <v>2.7E-2</v>
      </c>
      <c r="N43" s="13"/>
      <c r="Q43" s="12"/>
    </row>
    <row r="44" spans="1:17" ht="16" thickBot="1">
      <c r="A44">
        <v>37</v>
      </c>
      <c r="B44" s="6">
        <v>1963</v>
      </c>
      <c r="C44" s="7">
        <v>1.3360000000000001</v>
      </c>
      <c r="D44" s="7">
        <v>0.46400000000000002</v>
      </c>
      <c r="E44" s="7">
        <v>7.0000000000000001E-3</v>
      </c>
      <c r="F44" s="7">
        <v>2.7E-2</v>
      </c>
      <c r="H44" s="6">
        <v>1963</v>
      </c>
      <c r="I44" s="7">
        <v>1.1819999999999999</v>
      </c>
      <c r="J44" s="7">
        <v>0.41099999999999998</v>
      </c>
      <c r="K44" s="7">
        <v>1.4999999999999999E-2</v>
      </c>
      <c r="L44" s="7">
        <v>2.7E-2</v>
      </c>
      <c r="N44" s="13"/>
      <c r="Q44" s="12"/>
    </row>
    <row r="45" spans="1:17" ht="16" thickBot="1">
      <c r="A45">
        <v>38</v>
      </c>
      <c r="B45" s="6">
        <v>1962</v>
      </c>
      <c r="C45" s="7">
        <v>1.4359999999999999</v>
      </c>
      <c r="D45" s="7">
        <v>0.48799999999999999</v>
      </c>
      <c r="E45" s="7">
        <v>8.0000000000000002E-3</v>
      </c>
      <c r="F45" s="7">
        <v>2.7E-2</v>
      </c>
      <c r="H45" s="6">
        <v>1962</v>
      </c>
      <c r="I45" s="7">
        <v>1.2709999999999999</v>
      </c>
      <c r="J45" s="7">
        <v>0.432</v>
      </c>
      <c r="K45" s="7">
        <v>1.4999999999999999E-2</v>
      </c>
      <c r="L45" s="7">
        <v>2.7E-2</v>
      </c>
      <c r="N45" s="13"/>
      <c r="Q45" s="12"/>
    </row>
    <row r="46" spans="1:17" ht="16" thickBot="1">
      <c r="A46">
        <v>39</v>
      </c>
      <c r="B46" s="6">
        <v>1961</v>
      </c>
      <c r="C46" s="7">
        <v>1.571</v>
      </c>
      <c r="D46" s="7">
        <v>0.495</v>
      </c>
      <c r="E46" s="7">
        <v>8.9999999999999993E-3</v>
      </c>
      <c r="F46" s="7">
        <v>2.7E-2</v>
      </c>
      <c r="H46" s="6">
        <v>1961</v>
      </c>
      <c r="I46" s="7">
        <v>1.391</v>
      </c>
      <c r="J46" s="7">
        <v>0.438</v>
      </c>
      <c r="K46" s="7">
        <v>1.4999999999999999E-2</v>
      </c>
      <c r="L46" s="7">
        <v>2.7E-2</v>
      </c>
      <c r="N46" s="13"/>
      <c r="Q46" s="12"/>
    </row>
    <row r="47" spans="1:17" ht="16" thickBot="1">
      <c r="A47">
        <v>40</v>
      </c>
      <c r="B47" s="6">
        <v>1960</v>
      </c>
      <c r="C47" s="7">
        <v>1.667</v>
      </c>
      <c r="D47" s="7">
        <v>0.58399999999999996</v>
      </c>
      <c r="E47" s="7">
        <v>9.1999999999999998E-3</v>
      </c>
      <c r="F47" s="7">
        <v>2.7E-2</v>
      </c>
      <c r="H47" s="6">
        <v>1960</v>
      </c>
      <c r="I47" s="7">
        <v>1.476</v>
      </c>
      <c r="J47" s="7">
        <v>0.51700000000000002</v>
      </c>
      <c r="K47" s="7">
        <v>1.4999999999999999E-2</v>
      </c>
      <c r="L47" s="7">
        <v>2.7E-2</v>
      </c>
      <c r="N47" s="13"/>
      <c r="Q47" s="12"/>
    </row>
    <row r="48" spans="1:17" ht="16" thickBot="1">
      <c r="A48">
        <v>41</v>
      </c>
      <c r="B48" s="6">
        <v>1959</v>
      </c>
      <c r="C48" s="7">
        <v>1.7929999999999999</v>
      </c>
      <c r="D48" s="7">
        <v>0.56100000000000005</v>
      </c>
      <c r="E48" s="7">
        <v>9.4000000000000004E-3</v>
      </c>
      <c r="F48" s="7">
        <v>2.5999999999999999E-2</v>
      </c>
      <c r="H48" s="6">
        <v>1959</v>
      </c>
      <c r="I48" s="7">
        <v>1.587</v>
      </c>
      <c r="J48" s="7">
        <v>0.496</v>
      </c>
      <c r="K48" s="7">
        <v>1.4999999999999999E-2</v>
      </c>
      <c r="L48" s="7">
        <v>2.5999999999999999E-2</v>
      </c>
      <c r="N48" s="13"/>
      <c r="Q48" s="12"/>
    </row>
    <row r="49" spans="1:17" ht="16" thickBot="1">
      <c r="A49">
        <v>42</v>
      </c>
      <c r="B49" s="6">
        <v>1958</v>
      </c>
      <c r="C49" s="7">
        <v>1.919</v>
      </c>
      <c r="D49" s="7">
        <v>0.65800000000000003</v>
      </c>
      <c r="E49" s="7">
        <v>9.5999999999999992E-3</v>
      </c>
      <c r="F49" s="7">
        <v>2.5999999999999999E-2</v>
      </c>
      <c r="H49" s="6">
        <v>1958</v>
      </c>
      <c r="I49" s="7">
        <v>1.698</v>
      </c>
      <c r="J49" s="7">
        <v>0.58199999999999996</v>
      </c>
      <c r="K49" s="7">
        <v>1.4999999999999999E-2</v>
      </c>
      <c r="L49" s="7">
        <v>2.5999999999999999E-2</v>
      </c>
      <c r="N49" s="13"/>
      <c r="Q49" s="12"/>
    </row>
    <row r="50" spans="1:17" ht="16" thickBot="1">
      <c r="A50">
        <v>43</v>
      </c>
      <c r="B50" s="6">
        <v>1957</v>
      </c>
      <c r="C50" s="7">
        <v>2.016</v>
      </c>
      <c r="D50" s="7">
        <v>0.70699999999999996</v>
      </c>
      <c r="E50" s="7">
        <v>9.7999999999999997E-3</v>
      </c>
      <c r="F50" s="7">
        <v>2.5999999999999999E-2</v>
      </c>
      <c r="H50" s="6">
        <v>1957</v>
      </c>
      <c r="I50" s="7">
        <v>1.784</v>
      </c>
      <c r="J50" s="7">
        <v>0.626</v>
      </c>
      <c r="K50" s="7">
        <v>1.4999999999999999E-2</v>
      </c>
      <c r="L50" s="7">
        <v>2.5999999999999999E-2</v>
      </c>
      <c r="N50" s="13"/>
      <c r="Q50" s="12"/>
    </row>
    <row r="51" spans="1:17" ht="16" thickBot="1">
      <c r="A51">
        <v>44</v>
      </c>
      <c r="B51" s="6">
        <v>1956</v>
      </c>
      <c r="C51" s="7">
        <v>2.1579999999999999</v>
      </c>
      <c r="D51" s="7">
        <v>0.76200000000000001</v>
      </c>
      <c r="E51" s="7">
        <v>0.01</v>
      </c>
      <c r="F51" s="7">
        <v>2.5999999999999999E-2</v>
      </c>
      <c r="H51" s="6">
        <v>1956</v>
      </c>
      <c r="I51" s="7">
        <v>1.91</v>
      </c>
      <c r="J51" s="7">
        <v>0.67500000000000004</v>
      </c>
      <c r="K51" s="7">
        <v>1.4999999999999999E-2</v>
      </c>
      <c r="L51" s="7">
        <v>2.5999999999999999E-2</v>
      </c>
      <c r="N51" s="13"/>
      <c r="Q51" s="12"/>
    </row>
    <row r="52" spans="1:17" ht="16" thickBot="1">
      <c r="A52">
        <v>45</v>
      </c>
      <c r="B52" s="6">
        <v>1955</v>
      </c>
      <c r="C52" s="7">
        <v>2.3340000000000001</v>
      </c>
      <c r="D52" s="7">
        <v>0.85</v>
      </c>
      <c r="E52" s="7">
        <v>0.01</v>
      </c>
      <c r="F52" s="7">
        <v>2.5000000000000001E-2</v>
      </c>
      <c r="H52" s="6">
        <v>1955</v>
      </c>
      <c r="I52" s="7">
        <v>2.0659999999999998</v>
      </c>
      <c r="J52" s="7">
        <v>0.753</v>
      </c>
      <c r="K52" s="7">
        <v>1.4999999999999999E-2</v>
      </c>
      <c r="L52" s="7">
        <v>2.5000000000000001E-2</v>
      </c>
      <c r="N52" s="13"/>
      <c r="Q52" s="12"/>
    </row>
    <row r="53" spans="1:17" ht="16" thickBot="1">
      <c r="A53">
        <v>46</v>
      </c>
      <c r="B53" s="6">
        <v>1954</v>
      </c>
      <c r="C53" s="7">
        <v>2.5649999999999999</v>
      </c>
      <c r="D53" s="7">
        <v>0.87</v>
      </c>
      <c r="E53" s="7">
        <v>0.01</v>
      </c>
      <c r="F53" s="7">
        <v>2.5000000000000001E-2</v>
      </c>
      <c r="H53" s="6">
        <v>1954</v>
      </c>
      <c r="I53" s="7">
        <v>2.27</v>
      </c>
      <c r="J53" s="7">
        <v>0.77</v>
      </c>
      <c r="K53" s="7">
        <v>1.4999999999999999E-2</v>
      </c>
      <c r="L53" s="7">
        <v>2.5000000000000001E-2</v>
      </c>
      <c r="N53" s="13"/>
      <c r="Q53" s="12"/>
    </row>
    <row r="54" spans="1:17" ht="16" thickBot="1">
      <c r="A54">
        <v>47</v>
      </c>
      <c r="B54" s="6">
        <v>1953</v>
      </c>
      <c r="C54" s="7">
        <v>2.6930000000000001</v>
      </c>
      <c r="D54" s="7">
        <v>0.95699999999999996</v>
      </c>
      <c r="E54" s="7">
        <v>0.01</v>
      </c>
      <c r="F54" s="7">
        <v>2.5000000000000001E-2</v>
      </c>
      <c r="H54" s="6">
        <v>1953</v>
      </c>
      <c r="I54" s="7">
        <v>2.3839999999999999</v>
      </c>
      <c r="J54" s="7">
        <v>0.84699999999999998</v>
      </c>
      <c r="K54" s="7">
        <v>1.4999999999999999E-2</v>
      </c>
      <c r="L54" s="7">
        <v>2.5000000000000001E-2</v>
      </c>
      <c r="N54" s="13"/>
      <c r="Q54" s="12"/>
    </row>
    <row r="55" spans="1:17" ht="16" thickBot="1">
      <c r="A55">
        <v>48</v>
      </c>
      <c r="B55" s="6">
        <v>1952</v>
      </c>
      <c r="C55" s="7">
        <v>2.823</v>
      </c>
      <c r="D55" s="7">
        <v>0.996</v>
      </c>
      <c r="E55" s="7">
        <v>0.01</v>
      </c>
      <c r="F55" s="7">
        <v>2.5000000000000001E-2</v>
      </c>
      <c r="H55" s="6">
        <v>1952</v>
      </c>
      <c r="I55" s="7">
        <v>2.4990000000000001</v>
      </c>
      <c r="J55" s="7">
        <v>0.88100000000000001</v>
      </c>
      <c r="K55" s="7">
        <v>1.4999999999999999E-2</v>
      </c>
      <c r="L55" s="7">
        <v>2.5000000000000001E-2</v>
      </c>
      <c r="N55" s="13"/>
      <c r="Q55" s="12"/>
    </row>
    <row r="56" spans="1:17" ht="16" thickBot="1">
      <c r="A56">
        <v>49</v>
      </c>
      <c r="B56" s="6">
        <v>1951</v>
      </c>
      <c r="C56" s="7">
        <v>3.2919999999999998</v>
      </c>
      <c r="D56" s="7">
        <v>1.2</v>
      </c>
      <c r="E56" s="7">
        <v>0.01</v>
      </c>
      <c r="F56" s="7">
        <v>2.4E-2</v>
      </c>
      <c r="H56" s="6">
        <v>1951</v>
      </c>
      <c r="I56" s="7">
        <v>2.9140000000000001</v>
      </c>
      <c r="J56" s="7">
        <v>1.0620000000000001</v>
      </c>
      <c r="K56" s="7">
        <v>1.4999999999999999E-2</v>
      </c>
      <c r="L56" s="7">
        <v>2.5000000000000001E-2</v>
      </c>
      <c r="N56" s="13"/>
      <c r="Q56" s="12"/>
    </row>
    <row r="57" spans="1:17" ht="16" thickBot="1">
      <c r="A57">
        <v>50</v>
      </c>
      <c r="B57" s="6">
        <v>1950</v>
      </c>
      <c r="C57" s="7">
        <v>3.7080000000000002</v>
      </c>
      <c r="D57" s="7">
        <v>1.3779999999999999</v>
      </c>
      <c r="E57" s="7">
        <v>0.01</v>
      </c>
      <c r="F57" s="7">
        <v>2.3E-2</v>
      </c>
      <c r="H57" s="6">
        <v>1950</v>
      </c>
      <c r="I57" s="7">
        <v>3.2810000000000001</v>
      </c>
      <c r="J57" s="7">
        <v>1.22</v>
      </c>
      <c r="K57" s="7">
        <v>1.4999999999999999E-2</v>
      </c>
      <c r="L57" s="7">
        <v>2.5000000000000001E-2</v>
      </c>
      <c r="N57" s="13"/>
      <c r="Q57" s="12"/>
    </row>
    <row r="58" spans="1:17" ht="16" thickBot="1">
      <c r="A58">
        <v>51</v>
      </c>
      <c r="B58" s="6">
        <v>1949</v>
      </c>
      <c r="C58" s="7">
        <v>4.1340000000000003</v>
      </c>
      <c r="D58" s="7">
        <v>1.5580000000000001</v>
      </c>
      <c r="E58" s="7">
        <v>0.01</v>
      </c>
      <c r="F58" s="7">
        <v>2.3E-2</v>
      </c>
      <c r="H58" s="6">
        <v>1949</v>
      </c>
      <c r="I58" s="7">
        <v>3.673</v>
      </c>
      <c r="J58" s="7">
        <v>1.385</v>
      </c>
      <c r="K58" s="7">
        <v>1.4999999999999999E-2</v>
      </c>
      <c r="L58" s="7">
        <v>2.5000000000000001E-2</v>
      </c>
      <c r="N58" s="13"/>
      <c r="Q58" s="12"/>
    </row>
    <row r="59" spans="1:17" ht="16" thickBot="1">
      <c r="A59">
        <v>52</v>
      </c>
      <c r="B59" s="6">
        <v>1948</v>
      </c>
      <c r="C59" s="7">
        <v>4.5019999999999998</v>
      </c>
      <c r="D59" s="7">
        <v>1.631</v>
      </c>
      <c r="E59" s="7">
        <v>0.01</v>
      </c>
      <c r="F59" s="7">
        <v>2.3E-2</v>
      </c>
      <c r="H59" s="6">
        <v>1948</v>
      </c>
      <c r="I59" s="7">
        <v>4.0010000000000003</v>
      </c>
      <c r="J59" s="7">
        <v>1.4490000000000001</v>
      </c>
      <c r="K59" s="7">
        <v>1.4999999999999999E-2</v>
      </c>
      <c r="L59" s="7">
        <v>2.5000000000000001E-2</v>
      </c>
      <c r="N59" s="13"/>
      <c r="Q59" s="12"/>
    </row>
    <row r="60" spans="1:17" ht="16" thickBot="1">
      <c r="A60">
        <v>53</v>
      </c>
      <c r="B60" s="6">
        <v>1947</v>
      </c>
      <c r="C60" s="7">
        <v>5.3719999999999999</v>
      </c>
      <c r="D60" s="7">
        <v>1.9179999999999999</v>
      </c>
      <c r="E60" s="7">
        <v>0.01</v>
      </c>
      <c r="F60" s="7">
        <v>2.3E-2</v>
      </c>
      <c r="H60" s="6">
        <v>1947</v>
      </c>
      <c r="I60" s="7">
        <v>4.7729999999999997</v>
      </c>
      <c r="J60" s="7">
        <v>1.704</v>
      </c>
      <c r="K60" s="7">
        <v>1.4999999999999999E-2</v>
      </c>
      <c r="L60" s="7">
        <v>2.5000000000000001E-2</v>
      </c>
      <c r="N60" s="13"/>
      <c r="Q60" s="12"/>
    </row>
    <row r="61" spans="1:17" ht="16" thickBot="1">
      <c r="A61">
        <v>54</v>
      </c>
      <c r="B61" s="6">
        <v>1946</v>
      </c>
      <c r="C61" s="7">
        <v>5.6950000000000003</v>
      </c>
      <c r="D61" s="7">
        <v>2.0369999999999999</v>
      </c>
      <c r="E61" s="7">
        <v>0.01</v>
      </c>
      <c r="F61" s="7">
        <v>2.3E-2</v>
      </c>
      <c r="H61" s="6">
        <v>1946</v>
      </c>
      <c r="I61" s="7">
        <v>5.0609999999999999</v>
      </c>
      <c r="J61" s="7">
        <v>1.81</v>
      </c>
      <c r="K61" s="7">
        <v>1.4999999999999999E-2</v>
      </c>
      <c r="L61" s="7">
        <v>2.5000000000000001E-2</v>
      </c>
      <c r="N61" s="13"/>
      <c r="Q61" s="12"/>
    </row>
    <row r="62" spans="1:17" ht="16" thickBot="1">
      <c r="A62">
        <v>55</v>
      </c>
      <c r="B62" s="6">
        <v>1945</v>
      </c>
      <c r="C62" s="7">
        <v>6.1059999999999999</v>
      </c>
      <c r="D62" s="7">
        <v>2.1949999999999998</v>
      </c>
      <c r="E62" s="7">
        <v>0.01</v>
      </c>
      <c r="F62" s="7">
        <v>2.3E-2</v>
      </c>
      <c r="H62" s="6">
        <v>1945</v>
      </c>
      <c r="I62" s="7">
        <v>5.4450000000000003</v>
      </c>
      <c r="J62" s="7">
        <v>1.9570000000000001</v>
      </c>
      <c r="K62" s="7">
        <v>1.4999999999999999E-2</v>
      </c>
      <c r="L62" s="7">
        <v>2.5000000000000001E-2</v>
      </c>
      <c r="N62" s="13"/>
      <c r="Q62" s="12"/>
    </row>
    <row r="63" spans="1:17" ht="16" thickBot="1">
      <c r="A63">
        <v>56</v>
      </c>
      <c r="B63" s="6">
        <v>1944</v>
      </c>
      <c r="C63" s="7">
        <v>6.5179999999999998</v>
      </c>
      <c r="D63" s="7">
        <v>2.286</v>
      </c>
      <c r="E63" s="7">
        <v>0.01</v>
      </c>
      <c r="F63" s="7">
        <v>2.3E-2</v>
      </c>
      <c r="H63" s="6">
        <v>1944</v>
      </c>
      <c r="I63" s="7">
        <v>5.8120000000000003</v>
      </c>
      <c r="J63" s="7">
        <v>2.0379999999999998</v>
      </c>
      <c r="K63" s="7">
        <v>1.4999999999999999E-2</v>
      </c>
      <c r="L63" s="7">
        <v>2.5000000000000001E-2</v>
      </c>
      <c r="N63" s="13"/>
      <c r="Q63" s="12"/>
    </row>
    <row r="64" spans="1:17" ht="16" thickBot="1">
      <c r="A64">
        <v>57</v>
      </c>
      <c r="B64" s="6">
        <v>1943</v>
      </c>
      <c r="C64" s="7">
        <v>7.0789999999999997</v>
      </c>
      <c r="D64" s="7">
        <v>2.5659999999999998</v>
      </c>
      <c r="E64" s="7">
        <v>0.01</v>
      </c>
      <c r="F64" s="7">
        <v>2.3E-2</v>
      </c>
      <c r="H64" s="6">
        <v>1943</v>
      </c>
      <c r="I64" s="7">
        <v>6.3129999999999997</v>
      </c>
      <c r="J64" s="7">
        <v>2.2879999999999998</v>
      </c>
      <c r="K64" s="7">
        <v>1.4999999999999999E-2</v>
      </c>
      <c r="L64" s="7">
        <v>2.5000000000000001E-2</v>
      </c>
      <c r="N64" s="13"/>
      <c r="Q64" s="12"/>
    </row>
    <row r="65" spans="1:17" ht="16" thickBot="1">
      <c r="A65">
        <v>58</v>
      </c>
      <c r="B65" s="6">
        <v>1942</v>
      </c>
      <c r="C65" s="7">
        <v>7.7030000000000003</v>
      </c>
      <c r="D65" s="7">
        <v>2.827</v>
      </c>
      <c r="E65" s="7">
        <v>1.0999999999999999E-2</v>
      </c>
      <c r="F65" s="7">
        <v>2.3E-2</v>
      </c>
      <c r="H65" s="6">
        <v>1942</v>
      </c>
      <c r="I65" s="7">
        <v>6.8689999999999998</v>
      </c>
      <c r="J65" s="7">
        <v>2.5209999999999999</v>
      </c>
      <c r="K65" s="7">
        <v>1.4999999999999999E-2</v>
      </c>
      <c r="L65" s="7">
        <v>2.5000000000000001E-2</v>
      </c>
      <c r="N65" s="13"/>
      <c r="Q65" s="12"/>
    </row>
    <row r="66" spans="1:17" ht="16" thickBot="1">
      <c r="A66">
        <v>59</v>
      </c>
      <c r="B66" s="6">
        <v>1941</v>
      </c>
      <c r="C66" s="7">
        <v>8.1829999999999998</v>
      </c>
      <c r="D66" s="7">
        <v>3.0579999999999998</v>
      </c>
      <c r="E66" s="7">
        <v>1.2E-2</v>
      </c>
      <c r="F66" s="7">
        <v>2.3E-2</v>
      </c>
      <c r="H66" s="6">
        <v>1941</v>
      </c>
      <c r="I66" s="7">
        <v>7.298</v>
      </c>
      <c r="J66" s="7">
        <v>2.7269999999999999</v>
      </c>
      <c r="K66" s="7">
        <v>1.4999999999999999E-2</v>
      </c>
      <c r="L66" s="7">
        <v>2.5000000000000001E-2</v>
      </c>
      <c r="N66" s="13"/>
      <c r="Q66" s="12"/>
    </row>
    <row r="67" spans="1:17" ht="16" thickBot="1">
      <c r="A67">
        <v>60</v>
      </c>
      <c r="B67" s="6">
        <v>1940</v>
      </c>
      <c r="C67" s="7">
        <v>9.1839999999999993</v>
      </c>
      <c r="D67" s="7">
        <v>3.4239999999999999</v>
      </c>
      <c r="E67" s="7">
        <v>1.2999999999999999E-2</v>
      </c>
      <c r="F67" s="7">
        <v>2.4E-2</v>
      </c>
      <c r="H67" s="6">
        <v>1940</v>
      </c>
      <c r="I67" s="7">
        <v>8.2200000000000006</v>
      </c>
      <c r="J67" s="7">
        <v>3.0640000000000001</v>
      </c>
      <c r="K67" s="7">
        <v>1.4999999999999999E-2</v>
      </c>
      <c r="L67" s="7">
        <v>2.5000000000000001E-2</v>
      </c>
      <c r="N67" s="13"/>
      <c r="Q67" s="12"/>
    </row>
    <row r="68" spans="1:17" ht="16" thickBot="1">
      <c r="A68">
        <v>61</v>
      </c>
      <c r="B68" s="6">
        <v>1939</v>
      </c>
      <c r="C68" s="7">
        <v>10.07</v>
      </c>
      <c r="D68" s="7">
        <v>3.7269999999999999</v>
      </c>
      <c r="E68" s="7">
        <v>1.2999999999999999E-2</v>
      </c>
      <c r="F68" s="7">
        <v>2.4E-2</v>
      </c>
      <c r="H68" s="6">
        <v>1939</v>
      </c>
      <c r="I68" s="7">
        <v>9.0139999999999993</v>
      </c>
      <c r="J68" s="7">
        <v>3.3359999999999999</v>
      </c>
      <c r="K68" s="7">
        <v>1.4999999999999999E-2</v>
      </c>
      <c r="L68" s="7">
        <v>2.5000000000000001E-2</v>
      </c>
      <c r="N68" s="13"/>
      <c r="Q68" s="12"/>
    </row>
    <row r="69" spans="1:17" ht="16" thickBot="1">
      <c r="A69">
        <v>62</v>
      </c>
      <c r="B69" s="6">
        <v>1938</v>
      </c>
      <c r="C69" s="7">
        <v>10.875999999999999</v>
      </c>
      <c r="D69" s="7">
        <v>4.133</v>
      </c>
      <c r="E69" s="7">
        <v>1.2999999999999999E-2</v>
      </c>
      <c r="F69" s="7">
        <v>2.4E-2</v>
      </c>
      <c r="H69" s="6">
        <v>1938</v>
      </c>
      <c r="I69" s="7">
        <v>9.7349999999999994</v>
      </c>
      <c r="J69" s="7">
        <v>3.6989999999999998</v>
      </c>
      <c r="K69" s="7">
        <v>1.4999999999999999E-2</v>
      </c>
      <c r="L69" s="7">
        <v>2.5000000000000001E-2</v>
      </c>
      <c r="N69" s="13"/>
      <c r="Q69" s="12"/>
    </row>
    <row r="70" spans="1:17" ht="16" thickBot="1">
      <c r="A70">
        <v>63</v>
      </c>
      <c r="B70" s="6">
        <v>1937</v>
      </c>
      <c r="C70" s="7">
        <v>11.747999999999999</v>
      </c>
      <c r="D70" s="7">
        <v>4.3949999999999996</v>
      </c>
      <c r="E70" s="7">
        <v>1.2999999999999999E-2</v>
      </c>
      <c r="F70" s="7">
        <v>2.5000000000000001E-2</v>
      </c>
      <c r="H70" s="6">
        <v>1937</v>
      </c>
      <c r="I70" s="7">
        <v>10.516</v>
      </c>
      <c r="J70" s="7">
        <v>3.9340000000000002</v>
      </c>
      <c r="K70" s="7">
        <v>1.4999999999999999E-2</v>
      </c>
      <c r="L70" s="7">
        <v>2.5000000000000001E-2</v>
      </c>
      <c r="N70" s="13"/>
      <c r="Q70" s="12"/>
    </row>
    <row r="71" spans="1:17" ht="16" thickBot="1">
      <c r="A71">
        <v>64</v>
      </c>
      <c r="B71" s="6">
        <v>1936</v>
      </c>
      <c r="C71" s="7">
        <v>13.045</v>
      </c>
      <c r="D71" s="7">
        <v>4.8280000000000003</v>
      </c>
      <c r="E71" s="7">
        <v>1.2999999999999999E-2</v>
      </c>
      <c r="F71" s="7">
        <v>2.5000000000000001E-2</v>
      </c>
      <c r="H71" s="6">
        <v>1936</v>
      </c>
      <c r="I71" s="7">
        <v>11.676</v>
      </c>
      <c r="J71" s="7">
        <v>4.3220000000000001</v>
      </c>
      <c r="K71" s="7">
        <v>1.4999999999999999E-2</v>
      </c>
      <c r="L71" s="7">
        <v>2.5000000000000001E-2</v>
      </c>
      <c r="N71" s="13"/>
      <c r="Q71" s="12"/>
    </row>
    <row r="72" spans="1:17" ht="16" thickBot="1">
      <c r="A72">
        <v>65</v>
      </c>
      <c r="B72" s="6">
        <v>1935</v>
      </c>
      <c r="C72" s="7">
        <v>14.532999999999999</v>
      </c>
      <c r="D72" s="7">
        <v>5.4509999999999996</v>
      </c>
      <c r="E72" s="7">
        <v>1.2999999999999999E-2</v>
      </c>
      <c r="F72" s="7">
        <v>2.5000000000000001E-2</v>
      </c>
      <c r="H72" s="6">
        <v>1935</v>
      </c>
      <c r="I72" s="7">
        <v>13.03</v>
      </c>
      <c r="J72" s="7">
        <v>4.8869999999999996</v>
      </c>
      <c r="K72" s="7">
        <v>1.4999999999999999E-2</v>
      </c>
      <c r="L72" s="7">
        <v>2.5000000000000001E-2</v>
      </c>
      <c r="N72" s="13"/>
      <c r="Q72" s="12"/>
    </row>
    <row r="73" spans="1:17" ht="16" thickBot="1">
      <c r="A73">
        <v>66</v>
      </c>
      <c r="B73" s="6">
        <v>1934</v>
      </c>
      <c r="C73" s="7">
        <v>15.69</v>
      </c>
      <c r="D73" s="7">
        <v>6.0529999999999999</v>
      </c>
      <c r="E73" s="7">
        <v>1.2999999999999999E-2</v>
      </c>
      <c r="F73" s="7">
        <v>2.5000000000000001E-2</v>
      </c>
      <c r="H73" s="6">
        <v>1934</v>
      </c>
      <c r="I73" s="7">
        <v>14.067</v>
      </c>
      <c r="J73" s="7">
        <v>5.4269999999999996</v>
      </c>
      <c r="K73" s="7">
        <v>1.4999999999999999E-2</v>
      </c>
      <c r="L73" s="7">
        <v>2.5000000000000001E-2</v>
      </c>
      <c r="N73" s="13"/>
      <c r="Q73" s="12"/>
    </row>
    <row r="74" spans="1:17" ht="16" thickBot="1">
      <c r="A74">
        <v>67</v>
      </c>
      <c r="B74" s="6">
        <v>1933</v>
      </c>
      <c r="C74" s="7">
        <v>17.221</v>
      </c>
      <c r="D74" s="7">
        <v>6.6980000000000004</v>
      </c>
      <c r="E74" s="7">
        <v>1.2999999999999999E-2</v>
      </c>
      <c r="F74" s="7">
        <v>2.5000000000000001E-2</v>
      </c>
      <c r="H74" s="6">
        <v>1933</v>
      </c>
      <c r="I74" s="7">
        <v>15.44</v>
      </c>
      <c r="J74" s="7">
        <v>6.0049999999999999</v>
      </c>
      <c r="K74" s="7">
        <v>1.4999999999999999E-2</v>
      </c>
      <c r="L74" s="7">
        <v>2.5000000000000001E-2</v>
      </c>
      <c r="N74" s="13"/>
      <c r="Q74" s="12"/>
    </row>
    <row r="75" spans="1:17" ht="16" thickBot="1">
      <c r="A75">
        <v>68</v>
      </c>
      <c r="B75" s="6">
        <v>1932</v>
      </c>
      <c r="C75" s="7">
        <v>18.968</v>
      </c>
      <c r="D75" s="7">
        <v>7.4329999999999998</v>
      </c>
      <c r="E75" s="7">
        <v>1.2999999999999999E-2</v>
      </c>
      <c r="F75" s="7">
        <v>2.5000000000000001E-2</v>
      </c>
      <c r="H75" s="6">
        <v>1932</v>
      </c>
      <c r="I75" s="7">
        <v>17.004999999999999</v>
      </c>
      <c r="J75" s="7">
        <v>6.6639999999999997</v>
      </c>
      <c r="K75" s="7">
        <v>1.4999999999999999E-2</v>
      </c>
      <c r="L75" s="7">
        <v>2.5000000000000001E-2</v>
      </c>
      <c r="N75" s="13"/>
      <c r="Q75" s="12"/>
    </row>
    <row r="76" spans="1:17" ht="16" thickBot="1">
      <c r="A76">
        <v>69</v>
      </c>
      <c r="B76" s="6">
        <v>1931</v>
      </c>
      <c r="C76" s="7">
        <v>20.645</v>
      </c>
      <c r="D76" s="7">
        <v>8.4030000000000005</v>
      </c>
      <c r="E76" s="7">
        <v>1.2999999999999999E-2</v>
      </c>
      <c r="F76" s="7">
        <v>2.5000000000000001E-2</v>
      </c>
      <c r="H76" s="6">
        <v>1931</v>
      </c>
      <c r="I76" s="7">
        <v>18.509</v>
      </c>
      <c r="J76" s="7">
        <v>7.5330000000000004</v>
      </c>
      <c r="K76" s="7">
        <v>1.4999999999999999E-2</v>
      </c>
      <c r="L76" s="7">
        <v>2.5000000000000001E-2</v>
      </c>
      <c r="N76" s="13"/>
      <c r="Q76" s="12"/>
    </row>
    <row r="77" spans="1:17" ht="16" thickBot="1">
      <c r="A77">
        <v>70</v>
      </c>
      <c r="B77" s="6">
        <v>1930</v>
      </c>
      <c r="C77" s="7">
        <v>22.27</v>
      </c>
      <c r="D77" s="7">
        <v>9.33</v>
      </c>
      <c r="E77" s="7">
        <v>1.2999999999999999E-2</v>
      </c>
      <c r="F77" s="7">
        <v>2.5000000000000001E-2</v>
      </c>
      <c r="H77" s="6">
        <v>1930</v>
      </c>
      <c r="I77" s="7">
        <v>19.978000000000002</v>
      </c>
      <c r="J77" s="7">
        <v>8.3699999999999992</v>
      </c>
      <c r="K77" s="7">
        <v>1.4999999999999999E-2</v>
      </c>
      <c r="L77" s="7">
        <v>2.5000000000000001E-2</v>
      </c>
      <c r="N77" s="13"/>
      <c r="Q77" s="12"/>
    </row>
    <row r="78" spans="1:17" ht="16" thickBot="1">
      <c r="A78">
        <v>71</v>
      </c>
      <c r="B78" s="8">
        <v>1929</v>
      </c>
      <c r="C78" s="9">
        <v>24.428999999999998</v>
      </c>
      <c r="D78" s="9">
        <v>10.683999999999999</v>
      </c>
      <c r="E78" s="9">
        <v>1.2999999999999999E-2</v>
      </c>
      <c r="F78" s="9">
        <v>2.5000000000000001E-2</v>
      </c>
      <c r="H78" s="6">
        <v>1929</v>
      </c>
      <c r="I78" s="7">
        <v>21.914999999999999</v>
      </c>
      <c r="J78" s="7">
        <v>9.5839999999999996</v>
      </c>
      <c r="K78" s="7">
        <v>1.4999999999999999E-2</v>
      </c>
      <c r="L78" s="7">
        <v>2.5000000000000001E-2</v>
      </c>
      <c r="N78" s="13"/>
      <c r="Q78" s="12"/>
    </row>
    <row r="79" spans="1:17" ht="16" thickBot="1">
      <c r="A79">
        <v>72</v>
      </c>
      <c r="B79" s="6">
        <v>1928</v>
      </c>
      <c r="C79" s="7">
        <v>27.259</v>
      </c>
      <c r="D79" s="7">
        <v>12.013</v>
      </c>
      <c r="E79" s="7">
        <v>1.2999999999999999E-2</v>
      </c>
      <c r="F79" s="7">
        <v>2.5000000000000001E-2</v>
      </c>
      <c r="H79" s="8">
        <v>1928</v>
      </c>
      <c r="I79" s="9">
        <v>24.454000000000001</v>
      </c>
      <c r="J79" s="9">
        <v>10.776999999999999</v>
      </c>
      <c r="K79" s="9">
        <v>1.4999999999999999E-2</v>
      </c>
      <c r="L79" s="9">
        <v>2.5000000000000001E-2</v>
      </c>
      <c r="N79" s="13"/>
      <c r="Q79" s="12"/>
    </row>
    <row r="80" spans="1:17" ht="16" thickBot="1">
      <c r="A80">
        <v>73</v>
      </c>
      <c r="B80" s="6">
        <v>1927</v>
      </c>
      <c r="C80" s="7">
        <v>30.295999999999999</v>
      </c>
      <c r="D80" s="7">
        <v>13.893000000000001</v>
      </c>
      <c r="E80" s="7">
        <v>1.2999999999999999E-2</v>
      </c>
      <c r="F80" s="7">
        <v>2.5000000000000001E-2</v>
      </c>
      <c r="H80" s="6">
        <v>1927</v>
      </c>
      <c r="I80" s="7">
        <v>27.178999999999998</v>
      </c>
      <c r="J80" s="7">
        <v>12.462999999999999</v>
      </c>
      <c r="K80" s="7">
        <v>1.4999999999999999E-2</v>
      </c>
      <c r="L80" s="7">
        <v>2.5000000000000001E-2</v>
      </c>
      <c r="N80" s="13"/>
      <c r="Q80" s="12"/>
    </row>
    <row r="81" spans="1:17" ht="16" thickBot="1">
      <c r="A81">
        <v>74</v>
      </c>
      <c r="B81" s="6">
        <v>1926</v>
      </c>
      <c r="C81" s="7">
        <v>33.69</v>
      </c>
      <c r="D81" s="7">
        <v>15.897</v>
      </c>
      <c r="E81" s="7">
        <v>1.2699999999999999E-2</v>
      </c>
      <c r="F81" s="7">
        <v>2.4E-2</v>
      </c>
      <c r="H81" s="6">
        <v>1926</v>
      </c>
      <c r="I81" s="7">
        <v>30.224</v>
      </c>
      <c r="J81" s="7">
        <v>14.262</v>
      </c>
      <c r="K81" s="7">
        <v>1.4999999999999999E-2</v>
      </c>
      <c r="L81" s="7">
        <v>2.5000000000000001E-2</v>
      </c>
      <c r="N81" s="13"/>
      <c r="Q81" s="12"/>
    </row>
    <row r="82" spans="1:17" ht="16" thickBot="1">
      <c r="A82">
        <v>75</v>
      </c>
      <c r="B82" s="6">
        <v>1925</v>
      </c>
      <c r="C82" s="7">
        <v>37.286000000000001</v>
      </c>
      <c r="D82" s="7">
        <v>18.248999999999999</v>
      </c>
      <c r="E82" s="7">
        <v>1.24E-2</v>
      </c>
      <c r="F82" s="7">
        <v>2.3E-2</v>
      </c>
      <c r="H82" s="6">
        <v>1925</v>
      </c>
      <c r="I82" s="7">
        <v>33.450000000000003</v>
      </c>
      <c r="J82" s="7">
        <v>16.372</v>
      </c>
      <c r="K82" s="7">
        <v>1.4999999999999999E-2</v>
      </c>
      <c r="L82" s="7">
        <v>2.5000000000000001E-2</v>
      </c>
      <c r="N82" s="13"/>
      <c r="Q82" s="12"/>
    </row>
    <row r="83" spans="1:17" ht="16" thickBot="1">
      <c r="A83">
        <v>76</v>
      </c>
      <c r="B83" s="6">
        <v>1924</v>
      </c>
      <c r="C83" s="7">
        <v>40.933999999999997</v>
      </c>
      <c r="D83" s="7">
        <v>21.048999999999999</v>
      </c>
      <c r="E83" s="7">
        <v>1.21E-2</v>
      </c>
      <c r="F83" s="7">
        <v>2.1999999999999999E-2</v>
      </c>
      <c r="H83" s="6">
        <v>1924</v>
      </c>
      <c r="I83" s="7">
        <v>36.722000000000001</v>
      </c>
      <c r="J83" s="7">
        <v>18.882999999999999</v>
      </c>
      <c r="K83" s="7">
        <v>1.4999999999999999E-2</v>
      </c>
      <c r="L83" s="7">
        <v>2.5000000000000001E-2</v>
      </c>
      <c r="N83" s="13"/>
      <c r="Q83" s="12"/>
    </row>
    <row r="84" spans="1:17" ht="16" thickBot="1">
      <c r="A84">
        <v>77</v>
      </c>
      <c r="B84" s="6">
        <v>1923</v>
      </c>
      <c r="C84" s="7">
        <v>44.856999999999999</v>
      </c>
      <c r="D84" s="7">
        <v>24.341000000000001</v>
      </c>
      <c r="E84" s="7">
        <v>1.18E-2</v>
      </c>
      <c r="F84" s="7">
        <v>2.1000000000000001E-2</v>
      </c>
      <c r="H84" s="6">
        <v>1923</v>
      </c>
      <c r="I84" s="7">
        <v>40.241999999999997</v>
      </c>
      <c r="J84" s="7">
        <v>21.837</v>
      </c>
      <c r="K84" s="7">
        <v>1.4999999999999999E-2</v>
      </c>
      <c r="L84" s="7">
        <v>2.5000000000000001E-2</v>
      </c>
      <c r="N84" s="13"/>
      <c r="Q84" s="12"/>
    </row>
    <row r="85" spans="1:17" ht="16" thickBot="1">
      <c r="A85">
        <v>78</v>
      </c>
      <c r="B85" s="6">
        <v>1922</v>
      </c>
      <c r="C85" s="7">
        <v>49.256</v>
      </c>
      <c r="D85" s="7">
        <v>27.849</v>
      </c>
      <c r="E85" s="7">
        <v>1.15E-2</v>
      </c>
      <c r="F85" s="7">
        <v>0.02</v>
      </c>
      <c r="H85" s="6">
        <v>1922</v>
      </c>
      <c r="I85" s="7">
        <v>44.188000000000002</v>
      </c>
      <c r="J85" s="7">
        <v>24.984000000000002</v>
      </c>
      <c r="K85" s="7">
        <v>1.4999999999999999E-2</v>
      </c>
      <c r="L85" s="7">
        <v>2.5000000000000001E-2</v>
      </c>
      <c r="N85" s="13"/>
      <c r="Q85" s="12"/>
    </row>
    <row r="86" spans="1:17" ht="16" thickBot="1">
      <c r="A86">
        <v>79</v>
      </c>
      <c r="B86" s="6">
        <v>1921</v>
      </c>
      <c r="C86" s="7">
        <v>54.411000000000001</v>
      </c>
      <c r="D86" s="7">
        <v>32.055999999999997</v>
      </c>
      <c r="E86" s="7">
        <v>1.12E-2</v>
      </c>
      <c r="F86" s="7">
        <v>1.9E-2</v>
      </c>
      <c r="H86" s="6">
        <v>1921</v>
      </c>
      <c r="I86" s="7">
        <v>48.813000000000002</v>
      </c>
      <c r="J86" s="7">
        <v>28.757999999999999</v>
      </c>
      <c r="K86" s="7">
        <v>1.4999999999999999E-2</v>
      </c>
      <c r="L86" s="7">
        <v>2.5000000000000001E-2</v>
      </c>
      <c r="N86" s="13"/>
      <c r="Q86" s="12"/>
    </row>
    <row r="87" spans="1:17" ht="16" thickBot="1">
      <c r="A87">
        <v>80</v>
      </c>
      <c r="B87" s="6">
        <v>1920</v>
      </c>
      <c r="C87" s="7">
        <v>59.677999999999997</v>
      </c>
      <c r="D87" s="7">
        <v>37.497999999999998</v>
      </c>
      <c r="E87" s="7">
        <v>1.09E-2</v>
      </c>
      <c r="F87" s="7">
        <v>1.7999999999999999E-2</v>
      </c>
      <c r="H87" s="6">
        <v>1920</v>
      </c>
      <c r="I87" s="7">
        <v>53.537999999999997</v>
      </c>
      <c r="J87" s="7">
        <v>33.64</v>
      </c>
      <c r="K87" s="7">
        <v>1.4999999999999999E-2</v>
      </c>
      <c r="L87" s="7">
        <v>2.5000000000000001E-2</v>
      </c>
      <c r="N87" s="13"/>
      <c r="Q87" s="12"/>
    </row>
    <row r="88" spans="1:17" ht="16" thickBot="1">
      <c r="A88">
        <v>81</v>
      </c>
      <c r="B88" s="6">
        <v>1919</v>
      </c>
      <c r="C88" s="7">
        <v>66.055999999999997</v>
      </c>
      <c r="D88" s="7">
        <v>43.054000000000002</v>
      </c>
      <c r="E88" s="7">
        <v>1.06E-2</v>
      </c>
      <c r="F88" s="7">
        <v>1.7000000000000001E-2</v>
      </c>
      <c r="H88" s="6">
        <v>1919</v>
      </c>
      <c r="I88" s="7">
        <v>59.26</v>
      </c>
      <c r="J88" s="7">
        <v>38.624000000000002</v>
      </c>
      <c r="K88" s="7">
        <v>1.4999999999999999E-2</v>
      </c>
      <c r="L88" s="7">
        <v>2.4E-2</v>
      </c>
      <c r="N88" s="13"/>
      <c r="Q88" s="12"/>
    </row>
    <row r="89" spans="1:17" ht="16" thickBot="1">
      <c r="A89">
        <v>82</v>
      </c>
      <c r="B89" s="6">
        <v>1918</v>
      </c>
      <c r="C89" s="7">
        <v>72.769000000000005</v>
      </c>
      <c r="D89" s="7">
        <v>48.1</v>
      </c>
      <c r="E89" s="7">
        <v>1.03E-2</v>
      </c>
      <c r="F89" s="7">
        <v>1.6E-2</v>
      </c>
      <c r="H89" s="6">
        <v>1918</v>
      </c>
      <c r="I89" s="7">
        <v>65.281999999999996</v>
      </c>
      <c r="J89" s="7">
        <v>43.151000000000003</v>
      </c>
      <c r="K89" s="7">
        <v>1.4999999999999999E-2</v>
      </c>
      <c r="L89" s="7">
        <v>2.3E-2</v>
      </c>
      <c r="N89" s="13"/>
      <c r="Q89" s="12"/>
    </row>
    <row r="90" spans="1:17" ht="16" thickBot="1">
      <c r="A90">
        <v>83</v>
      </c>
      <c r="B90" s="6">
        <v>1917</v>
      </c>
      <c r="C90" s="7">
        <v>78.956999999999994</v>
      </c>
      <c r="D90" s="7">
        <v>54.719000000000001</v>
      </c>
      <c r="E90" s="7">
        <v>0.01</v>
      </c>
      <c r="F90" s="7">
        <v>1.4999999999999999E-2</v>
      </c>
      <c r="H90" s="6">
        <v>1917</v>
      </c>
      <c r="I90" s="7">
        <v>70.832999999999998</v>
      </c>
      <c r="J90" s="7">
        <v>49.088999999999999</v>
      </c>
      <c r="K90" s="7">
        <v>1.4999999999999999E-2</v>
      </c>
      <c r="L90" s="7">
        <v>2.1999999999999999E-2</v>
      </c>
      <c r="N90" s="13"/>
      <c r="Q90" s="12"/>
    </row>
    <row r="91" spans="1:17" ht="16" thickBot="1">
      <c r="A91">
        <v>84</v>
      </c>
      <c r="B91" s="6">
        <v>1916</v>
      </c>
      <c r="C91" s="7">
        <v>84.61</v>
      </c>
      <c r="D91" s="7">
        <v>62.984000000000002</v>
      </c>
      <c r="E91" s="7">
        <v>0.01</v>
      </c>
      <c r="F91" s="7">
        <v>1.4E-2</v>
      </c>
      <c r="H91" s="6">
        <v>1916</v>
      </c>
      <c r="I91" s="7">
        <v>75.905000000000001</v>
      </c>
      <c r="J91" s="7">
        <v>56.503999999999998</v>
      </c>
      <c r="K91" s="7">
        <v>1.4999999999999999E-2</v>
      </c>
      <c r="L91" s="7">
        <v>2.1000000000000001E-2</v>
      </c>
      <c r="N91" s="13"/>
      <c r="Q91" s="12"/>
    </row>
    <row r="92" spans="1:17" ht="16" thickBot="1">
      <c r="A92">
        <v>85</v>
      </c>
      <c r="B92" s="6">
        <v>1915</v>
      </c>
      <c r="C92" s="7">
        <v>92.858999999999995</v>
      </c>
      <c r="D92" s="7">
        <v>71.238</v>
      </c>
      <c r="E92" s="7">
        <v>0.01</v>
      </c>
      <c r="F92" s="7">
        <v>1.2999999999999999E-2</v>
      </c>
      <c r="H92" s="6">
        <v>1915</v>
      </c>
      <c r="I92" s="7">
        <v>83.305000000000007</v>
      </c>
      <c r="J92" s="7">
        <v>63.908000000000001</v>
      </c>
      <c r="K92" s="7">
        <v>1.4999999999999999E-2</v>
      </c>
      <c r="L92" s="7">
        <v>0.02</v>
      </c>
      <c r="N92" s="13"/>
      <c r="Q92" s="12"/>
    </row>
    <row r="93" spans="1:17" ht="16" thickBot="1">
      <c r="A93">
        <v>86</v>
      </c>
      <c r="B93" s="6">
        <v>1914</v>
      </c>
      <c r="C93" s="7">
        <v>102.503</v>
      </c>
      <c r="D93" s="7">
        <v>79.091999999999999</v>
      </c>
      <c r="E93" s="7">
        <v>0.01</v>
      </c>
      <c r="F93" s="7">
        <v>1.2E-2</v>
      </c>
      <c r="H93" s="6">
        <v>1914</v>
      </c>
      <c r="I93" s="7">
        <v>91.956000000000003</v>
      </c>
      <c r="J93" s="7">
        <v>70.954999999999998</v>
      </c>
      <c r="K93" s="7">
        <v>1.4999999999999999E-2</v>
      </c>
      <c r="L93" s="7">
        <v>1.9E-2</v>
      </c>
      <c r="N93" s="13"/>
      <c r="Q93" s="12"/>
    </row>
    <row r="94" spans="1:17" ht="16" thickBot="1">
      <c r="A94">
        <v>87</v>
      </c>
      <c r="B94" s="6">
        <v>1913</v>
      </c>
      <c r="C94" s="7">
        <v>110.684</v>
      </c>
      <c r="D94" s="7">
        <v>88.703999999999994</v>
      </c>
      <c r="E94" s="7">
        <v>0.01</v>
      </c>
      <c r="F94" s="7">
        <v>1.0999999999999999E-2</v>
      </c>
      <c r="H94" s="6">
        <v>1913</v>
      </c>
      <c r="I94" s="7">
        <v>99.296000000000006</v>
      </c>
      <c r="J94" s="7">
        <v>79.576999999999998</v>
      </c>
      <c r="K94" s="7">
        <v>1.4999999999999999E-2</v>
      </c>
      <c r="L94" s="7">
        <v>1.7999999999999999E-2</v>
      </c>
      <c r="N94" s="13"/>
      <c r="Q94" s="12"/>
    </row>
    <row r="95" spans="1:17" ht="16" thickBot="1">
      <c r="A95">
        <v>88</v>
      </c>
      <c r="B95" s="6">
        <v>1912</v>
      </c>
      <c r="C95" s="7">
        <v>120.76300000000001</v>
      </c>
      <c r="D95" s="7">
        <v>98.128</v>
      </c>
      <c r="E95" s="7">
        <v>0.01</v>
      </c>
      <c r="F95" s="7">
        <v>0.01</v>
      </c>
      <c r="H95" s="6">
        <v>1912</v>
      </c>
      <c r="I95" s="7">
        <v>108.33799999999999</v>
      </c>
      <c r="J95" s="7">
        <v>88.031000000000006</v>
      </c>
      <c r="K95" s="7">
        <v>1.4999999999999999E-2</v>
      </c>
      <c r="L95" s="7">
        <v>1.7000000000000001E-2</v>
      </c>
      <c r="N95" s="13"/>
      <c r="Q95" s="12"/>
    </row>
    <row r="96" spans="1:17" ht="16" thickBot="1">
      <c r="A96">
        <v>89</v>
      </c>
      <c r="B96" s="6">
        <v>1911</v>
      </c>
      <c r="C96" s="7">
        <v>132.697</v>
      </c>
      <c r="D96" s="7">
        <v>109.289</v>
      </c>
      <c r="E96" s="7">
        <v>0.01</v>
      </c>
      <c r="F96" s="7">
        <v>0.01</v>
      </c>
      <c r="H96" s="6">
        <v>1911</v>
      </c>
      <c r="I96" s="7">
        <v>119.04300000000001</v>
      </c>
      <c r="J96" s="7">
        <v>98.045000000000002</v>
      </c>
      <c r="K96" s="7">
        <v>1.4999999999999999E-2</v>
      </c>
      <c r="L96" s="7">
        <v>1.6E-2</v>
      </c>
      <c r="N96" s="13"/>
      <c r="Q96" s="12"/>
    </row>
    <row r="97" spans="1:17" ht="16" thickBot="1">
      <c r="A97">
        <v>90</v>
      </c>
      <c r="B97" s="6">
        <v>1910</v>
      </c>
      <c r="C97" s="7">
        <v>145.57499999999999</v>
      </c>
      <c r="D97" s="7">
        <v>121.86799999999999</v>
      </c>
      <c r="E97" s="7">
        <v>0.01</v>
      </c>
      <c r="F97" s="7">
        <v>8.9999999999999993E-3</v>
      </c>
      <c r="H97" s="6">
        <v>1910</v>
      </c>
      <c r="I97" s="7">
        <v>130.59700000000001</v>
      </c>
      <c r="J97" s="7">
        <v>109.32899999999999</v>
      </c>
      <c r="K97" s="7">
        <v>1.4999999999999999E-2</v>
      </c>
      <c r="L97" s="7">
        <v>1.4999999999999999E-2</v>
      </c>
      <c r="N97" s="13"/>
      <c r="Q97" s="12"/>
    </row>
    <row r="98" spans="1:17" ht="16" thickBot="1">
      <c r="A98">
        <v>91</v>
      </c>
      <c r="B98" s="6">
        <v>1909</v>
      </c>
      <c r="C98" s="7">
        <v>158.96600000000001</v>
      </c>
      <c r="D98" s="7">
        <v>135.53899999999999</v>
      </c>
      <c r="E98" s="7">
        <v>0.01</v>
      </c>
      <c r="F98" s="7">
        <v>8.0000000000000002E-3</v>
      </c>
      <c r="H98" s="6">
        <v>1909</v>
      </c>
      <c r="I98" s="7">
        <v>142.61000000000001</v>
      </c>
      <c r="J98" s="7">
        <v>121.59399999999999</v>
      </c>
      <c r="K98" s="7">
        <v>1.4999999999999999E-2</v>
      </c>
      <c r="L98" s="7">
        <v>1.4999999999999999E-2</v>
      </c>
      <c r="N98" s="13"/>
      <c r="Q98" s="12"/>
    </row>
    <row r="99" spans="1:17" ht="16" thickBot="1">
      <c r="A99">
        <v>92</v>
      </c>
      <c r="B99" s="6">
        <v>1908</v>
      </c>
      <c r="C99" s="7">
        <v>174.31299999999999</v>
      </c>
      <c r="D99" s="7">
        <v>150.14699999999999</v>
      </c>
      <c r="E99" s="7">
        <v>8.9999999999999993E-3</v>
      </c>
      <c r="F99" s="7">
        <v>7.0000000000000001E-3</v>
      </c>
      <c r="H99" s="6">
        <v>1908</v>
      </c>
      <c r="I99" s="7">
        <v>156.37799999999999</v>
      </c>
      <c r="J99" s="7">
        <v>134.69900000000001</v>
      </c>
      <c r="K99" s="7">
        <v>1.35E-2</v>
      </c>
      <c r="L99" s="7">
        <v>1.35E-2</v>
      </c>
      <c r="N99" s="13"/>
      <c r="Q99" s="12"/>
    </row>
    <row r="100" spans="1:17" ht="16" thickBot="1">
      <c r="A100">
        <v>93</v>
      </c>
      <c r="B100" s="6">
        <v>1907</v>
      </c>
      <c r="C100" s="7">
        <v>189.886</v>
      </c>
      <c r="D100" s="7">
        <v>165.61199999999999</v>
      </c>
      <c r="E100" s="7">
        <v>8.0000000000000002E-3</v>
      </c>
      <c r="F100" s="7">
        <v>6.0000000000000001E-3</v>
      </c>
      <c r="H100" s="6">
        <v>1907</v>
      </c>
      <c r="I100" s="7">
        <v>170.34800000000001</v>
      </c>
      <c r="J100" s="7">
        <v>148.572</v>
      </c>
      <c r="K100" s="7">
        <v>1.2E-2</v>
      </c>
      <c r="L100" s="7">
        <v>1.2E-2</v>
      </c>
      <c r="N100" s="13"/>
      <c r="Q100" s="12"/>
    </row>
    <row r="101" spans="1:17" ht="16" thickBot="1">
      <c r="A101">
        <v>94</v>
      </c>
      <c r="B101" s="6">
        <v>1906</v>
      </c>
      <c r="C101" s="7">
        <v>206.827</v>
      </c>
      <c r="D101" s="7">
        <v>183.67099999999999</v>
      </c>
      <c r="E101" s="7">
        <v>7.0000000000000001E-3</v>
      </c>
      <c r="F101" s="7">
        <v>5.0000000000000001E-3</v>
      </c>
      <c r="H101" s="6">
        <v>1906</v>
      </c>
      <c r="I101" s="7">
        <v>185.547</v>
      </c>
      <c r="J101" s="7">
        <v>164.773</v>
      </c>
      <c r="K101" s="7">
        <v>1.0500000000000001E-2</v>
      </c>
      <c r="L101" s="7">
        <v>1.0500000000000001E-2</v>
      </c>
      <c r="N101" s="13"/>
      <c r="Q101" s="12"/>
    </row>
    <row r="102" spans="1:17" ht="16" thickBot="1">
      <c r="A102">
        <v>95</v>
      </c>
      <c r="B102" s="6">
        <v>1905</v>
      </c>
      <c r="C102" s="7">
        <v>223.02600000000001</v>
      </c>
      <c r="D102" s="7">
        <v>202.81</v>
      </c>
      <c r="E102" s="7">
        <v>6.0000000000000001E-3</v>
      </c>
      <c r="F102" s="7">
        <v>4.0000000000000001E-3</v>
      </c>
      <c r="H102" s="6">
        <v>1905</v>
      </c>
      <c r="I102" s="7">
        <v>200.07900000000001</v>
      </c>
      <c r="J102" s="7">
        <v>181.94300000000001</v>
      </c>
      <c r="K102" s="7">
        <v>8.9999999999999993E-3</v>
      </c>
      <c r="L102" s="7">
        <v>8.9999999999999993E-3</v>
      </c>
      <c r="N102" s="13"/>
      <c r="Q102" s="12"/>
    </row>
    <row r="103" spans="1:17" ht="16" thickBot="1">
      <c r="A103">
        <v>96</v>
      </c>
      <c r="B103" s="6">
        <v>1904</v>
      </c>
      <c r="C103" s="7">
        <v>240.49299999999999</v>
      </c>
      <c r="D103" s="7">
        <v>223.01</v>
      </c>
      <c r="E103" s="7">
        <v>5.0000000000000001E-3</v>
      </c>
      <c r="F103" s="7">
        <v>3.0000000000000001E-3</v>
      </c>
      <c r="H103" s="6">
        <v>1904</v>
      </c>
      <c r="I103" s="7">
        <v>215.749</v>
      </c>
      <c r="J103" s="7">
        <v>200.065</v>
      </c>
      <c r="K103" s="7">
        <v>7.4999999999999997E-3</v>
      </c>
      <c r="L103" s="7">
        <v>7.4999999999999997E-3</v>
      </c>
      <c r="N103" s="13"/>
      <c r="Q103" s="12"/>
    </row>
    <row r="104" spans="1:17" ht="16" thickBot="1">
      <c r="A104">
        <v>97</v>
      </c>
      <c r="B104" s="6">
        <v>1903</v>
      </c>
      <c r="C104" s="7">
        <v>259.327</v>
      </c>
      <c r="D104" s="7">
        <v>244.25200000000001</v>
      </c>
      <c r="E104" s="7">
        <v>4.0000000000000001E-3</v>
      </c>
      <c r="F104" s="7">
        <v>2E-3</v>
      </c>
      <c r="H104" s="6">
        <v>1903</v>
      </c>
      <c r="I104" s="7">
        <v>232.64400000000001</v>
      </c>
      <c r="J104" s="7">
        <v>219.12100000000001</v>
      </c>
      <c r="K104" s="7">
        <v>6.0000000000000001E-3</v>
      </c>
      <c r="L104" s="7">
        <v>6.0000000000000001E-3</v>
      </c>
      <c r="N104" s="13"/>
      <c r="Q104" s="12"/>
    </row>
    <row r="105" spans="1:17" ht="16" thickBot="1">
      <c r="A105">
        <v>98</v>
      </c>
      <c r="B105" s="6">
        <v>1902</v>
      </c>
      <c r="C105" s="7">
        <v>279.63400000000001</v>
      </c>
      <c r="D105" s="7">
        <v>266.51</v>
      </c>
      <c r="E105" s="7">
        <v>3.0000000000000001E-3</v>
      </c>
      <c r="F105" s="7">
        <v>1E-3</v>
      </c>
      <c r="H105" s="6">
        <v>1902</v>
      </c>
      <c r="I105" s="7">
        <v>250.86199999999999</v>
      </c>
      <c r="J105" s="7">
        <v>239.089</v>
      </c>
      <c r="K105" s="7">
        <v>4.4999999999999997E-3</v>
      </c>
      <c r="L105" s="7">
        <v>4.4999999999999997E-3</v>
      </c>
      <c r="N105" s="13"/>
      <c r="Q105" s="12"/>
    </row>
    <row r="106" spans="1:17" ht="16" thickBot="1">
      <c r="A106">
        <v>99</v>
      </c>
      <c r="B106" s="6">
        <v>1901</v>
      </c>
      <c r="C106" s="7">
        <v>302.16199999999998</v>
      </c>
      <c r="D106" s="7">
        <v>290.36900000000003</v>
      </c>
      <c r="E106" s="7">
        <v>2E-3</v>
      </c>
      <c r="F106" s="7">
        <v>0</v>
      </c>
      <c r="H106" s="6">
        <v>1901</v>
      </c>
      <c r="I106" s="7">
        <v>271.072</v>
      </c>
      <c r="J106" s="7">
        <v>260.49299999999999</v>
      </c>
      <c r="K106" s="7">
        <v>3.0000000000000001E-3</v>
      </c>
      <c r="L106" s="7">
        <v>3.0000000000000001E-3</v>
      </c>
      <c r="N106" s="13"/>
      <c r="Q106" s="12"/>
    </row>
    <row r="107" spans="1:17" ht="16" thickBot="1">
      <c r="A107">
        <v>100</v>
      </c>
      <c r="B107" s="6">
        <v>1900</v>
      </c>
      <c r="C107" s="7">
        <v>326.505</v>
      </c>
      <c r="D107" s="7">
        <v>312.166</v>
      </c>
      <c r="E107" s="7">
        <v>1E-3</v>
      </c>
      <c r="F107" s="7">
        <v>0</v>
      </c>
      <c r="H107" s="6">
        <v>1900</v>
      </c>
      <c r="I107" s="7">
        <v>292.911</v>
      </c>
      <c r="J107" s="7">
        <v>280.04700000000003</v>
      </c>
      <c r="K107" s="7">
        <v>1.5E-3</v>
      </c>
      <c r="L107" s="7">
        <v>1.5E-3</v>
      </c>
      <c r="N107" s="13"/>
      <c r="Q107" s="12"/>
    </row>
    <row r="108" spans="1:17" ht="16" thickBot="1">
      <c r="A108">
        <v>101</v>
      </c>
      <c r="B108" s="6">
        <v>1899</v>
      </c>
      <c r="C108" s="7">
        <v>361.19</v>
      </c>
      <c r="D108" s="7">
        <v>342.48899999999998</v>
      </c>
      <c r="E108" s="7">
        <v>0</v>
      </c>
      <c r="F108" s="7">
        <v>0</v>
      </c>
      <c r="H108" s="6">
        <v>1899</v>
      </c>
      <c r="I108" s="7">
        <v>324.89</v>
      </c>
      <c r="J108" s="7">
        <v>308.06799999999998</v>
      </c>
      <c r="K108" s="7">
        <v>0</v>
      </c>
      <c r="L108" s="7">
        <v>0</v>
      </c>
      <c r="N108" s="13"/>
      <c r="Q108" s="12"/>
    </row>
    <row r="109" spans="1:17" ht="16" thickBot="1">
      <c r="A109">
        <v>102</v>
      </c>
      <c r="B109" s="6">
        <v>1898</v>
      </c>
      <c r="C109" s="7">
        <v>386.40499999999997</v>
      </c>
      <c r="D109" s="7">
        <v>365.95600000000002</v>
      </c>
      <c r="E109" s="7">
        <v>0</v>
      </c>
      <c r="F109" s="7">
        <v>0</v>
      </c>
      <c r="H109" s="6">
        <v>1898</v>
      </c>
      <c r="I109" s="7">
        <v>347.57</v>
      </c>
      <c r="J109" s="7">
        <v>329.17599999999999</v>
      </c>
      <c r="K109" s="7">
        <v>0</v>
      </c>
      <c r="L109" s="7">
        <v>0</v>
      </c>
      <c r="N109" s="13"/>
      <c r="Q109" s="12"/>
    </row>
    <row r="110" spans="1:17" ht="16" thickBot="1">
      <c r="A110">
        <v>103</v>
      </c>
      <c r="B110" s="6">
        <v>1897</v>
      </c>
      <c r="C110" s="7">
        <v>413.38</v>
      </c>
      <c r="D110" s="7">
        <v>389.95699999999999</v>
      </c>
      <c r="E110" s="7">
        <v>0</v>
      </c>
      <c r="F110" s="7">
        <v>0</v>
      </c>
      <c r="H110" s="6">
        <v>1897</v>
      </c>
      <c r="I110" s="7">
        <v>371.83499999999998</v>
      </c>
      <c r="J110" s="7">
        <v>350.76499999999999</v>
      </c>
      <c r="K110" s="7">
        <v>0</v>
      </c>
      <c r="L110" s="7">
        <v>0</v>
      </c>
      <c r="N110" s="13"/>
      <c r="Q110" s="12"/>
    </row>
    <row r="111" spans="1:17" ht="16" thickBot="1">
      <c r="A111">
        <v>104</v>
      </c>
      <c r="B111" s="6">
        <v>1896</v>
      </c>
      <c r="C111" s="7">
        <v>442.23899999999998</v>
      </c>
      <c r="D111" s="7">
        <v>414.47500000000002</v>
      </c>
      <c r="E111" s="7">
        <v>0</v>
      </c>
      <c r="F111" s="7">
        <v>0</v>
      </c>
      <c r="H111" s="6">
        <v>1896</v>
      </c>
      <c r="I111" s="7">
        <v>397.79300000000001</v>
      </c>
      <c r="J111" s="7">
        <v>372.81900000000002</v>
      </c>
      <c r="K111" s="7">
        <v>0</v>
      </c>
      <c r="L111" s="7">
        <v>0</v>
      </c>
      <c r="N111" s="13"/>
      <c r="Q111" s="12"/>
    </row>
    <row r="112" spans="1:17" ht="16" thickBot="1">
      <c r="A112">
        <v>105</v>
      </c>
      <c r="B112" s="6">
        <v>1895</v>
      </c>
      <c r="C112" s="7">
        <v>473.11200000000002</v>
      </c>
      <c r="D112" s="7">
        <v>439.50200000000001</v>
      </c>
      <c r="E112" s="7">
        <v>0</v>
      </c>
      <c r="F112" s="7">
        <v>0</v>
      </c>
      <c r="H112" s="6">
        <v>1895</v>
      </c>
      <c r="I112" s="7">
        <v>425.56299999999999</v>
      </c>
      <c r="J112" s="7">
        <v>395.33100000000002</v>
      </c>
      <c r="K112" s="7">
        <v>0</v>
      </c>
      <c r="L112" s="7">
        <v>0</v>
      </c>
      <c r="N112" s="13"/>
      <c r="Q112" s="12"/>
    </row>
    <row r="113" spans="1:17" ht="16" thickBot="1">
      <c r="A113">
        <v>106</v>
      </c>
      <c r="B113" s="6">
        <v>1894</v>
      </c>
      <c r="C113" s="7">
        <v>506.14100000000002</v>
      </c>
      <c r="D113" s="7">
        <v>465.04300000000001</v>
      </c>
      <c r="E113" s="7">
        <v>0</v>
      </c>
      <c r="F113" s="7">
        <v>0</v>
      </c>
      <c r="H113" s="6">
        <v>1894</v>
      </c>
      <c r="I113" s="7">
        <v>455.27199999999999</v>
      </c>
      <c r="J113" s="7">
        <v>418.30500000000001</v>
      </c>
      <c r="K113" s="7">
        <v>0</v>
      </c>
      <c r="L113" s="7">
        <v>0</v>
      </c>
      <c r="N113" s="13"/>
      <c r="Q113" s="12"/>
    </row>
    <row r="114" spans="1:17" ht="16" thickBot="1">
      <c r="A114">
        <v>107</v>
      </c>
      <c r="B114" s="6">
        <v>1893</v>
      </c>
      <c r="C114" s="7">
        <v>541.47500000000002</v>
      </c>
      <c r="D114" s="7">
        <v>491.11399999999998</v>
      </c>
      <c r="E114" s="7">
        <v>0</v>
      </c>
      <c r="F114" s="7">
        <v>0</v>
      </c>
      <c r="H114" s="6">
        <v>1893</v>
      </c>
      <c r="I114" s="7">
        <v>487.05500000000001</v>
      </c>
      <c r="J114" s="7">
        <v>441.75599999999997</v>
      </c>
      <c r="K114" s="7">
        <v>0</v>
      </c>
      <c r="L114" s="7">
        <v>0</v>
      </c>
      <c r="N114" s="13"/>
      <c r="Q114" s="12"/>
    </row>
    <row r="115" spans="1:17" ht="16" thickBot="1">
      <c r="A115">
        <v>108</v>
      </c>
      <c r="B115" s="6">
        <v>1892</v>
      </c>
      <c r="C115" s="7">
        <v>579.27599999999995</v>
      </c>
      <c r="D115" s="7">
        <v>518.64800000000002</v>
      </c>
      <c r="E115" s="7">
        <v>0</v>
      </c>
      <c r="F115" s="7">
        <v>0</v>
      </c>
      <c r="H115" s="6">
        <v>1892</v>
      </c>
      <c r="I115" s="7">
        <v>510.80099999999999</v>
      </c>
      <c r="J115" s="7">
        <v>468.98099999999999</v>
      </c>
      <c r="K115" s="7">
        <v>0</v>
      </c>
      <c r="L115" s="7">
        <v>0</v>
      </c>
      <c r="N115" s="13"/>
      <c r="Q115" s="12"/>
    </row>
    <row r="116" spans="1:17" ht="16" thickBot="1">
      <c r="A116">
        <v>109</v>
      </c>
      <c r="B116" s="6">
        <v>1891</v>
      </c>
      <c r="C116" s="7">
        <v>619.71600000000001</v>
      </c>
      <c r="D116" s="7">
        <v>547.72400000000005</v>
      </c>
      <c r="E116" s="7">
        <v>0</v>
      </c>
      <c r="F116" s="7">
        <v>0</v>
      </c>
      <c r="H116" s="6">
        <v>1891</v>
      </c>
      <c r="I116" s="7">
        <v>535.70399999999995</v>
      </c>
      <c r="J116" s="7">
        <v>497.88400000000001</v>
      </c>
      <c r="K116" s="7">
        <v>0</v>
      </c>
      <c r="L116" s="7">
        <v>0</v>
      </c>
      <c r="N116" s="13"/>
      <c r="Q116" s="12"/>
    </row>
    <row r="117" spans="1:17" ht="16" thickBot="1">
      <c r="A117">
        <v>110</v>
      </c>
      <c r="B117" s="6">
        <v>1890</v>
      </c>
      <c r="C117" s="7">
        <v>662.97900000000004</v>
      </c>
      <c r="D117" s="7">
        <v>578.43100000000004</v>
      </c>
      <c r="E117" s="7">
        <v>0</v>
      </c>
      <c r="F117" s="7">
        <v>0</v>
      </c>
      <c r="H117" s="6">
        <v>1890</v>
      </c>
      <c r="I117" s="7">
        <v>561.82100000000003</v>
      </c>
      <c r="J117" s="7">
        <v>528.56799999999998</v>
      </c>
      <c r="K117" s="7">
        <v>0</v>
      </c>
      <c r="L117" s="7">
        <v>0</v>
      </c>
      <c r="N117" s="13"/>
      <c r="Q117" s="12"/>
    </row>
    <row r="118" spans="1:17" ht="16" thickBot="1">
      <c r="A118">
        <v>111</v>
      </c>
      <c r="B118" s="6">
        <v>1889</v>
      </c>
      <c r="C118" s="7">
        <v>709.26199999999994</v>
      </c>
      <c r="D118" s="7">
        <v>610.85900000000004</v>
      </c>
      <c r="E118" s="7">
        <v>0</v>
      </c>
      <c r="F118" s="7">
        <v>0</v>
      </c>
      <c r="H118" s="6">
        <v>1889</v>
      </c>
      <c r="I118" s="7">
        <v>589.21100000000001</v>
      </c>
      <c r="J118" s="7">
        <v>561.14300000000003</v>
      </c>
      <c r="K118" s="7">
        <v>0</v>
      </c>
      <c r="L118" s="7">
        <v>0</v>
      </c>
      <c r="N118" s="13"/>
      <c r="Q118" s="12"/>
    </row>
    <row r="119" spans="1:17" ht="16" thickBot="1">
      <c r="A119">
        <v>112</v>
      </c>
      <c r="B119" s="6">
        <v>1888</v>
      </c>
      <c r="C119" s="7">
        <v>758.77599999999995</v>
      </c>
      <c r="D119" s="7">
        <v>645.10599999999999</v>
      </c>
      <c r="E119" s="7">
        <v>0</v>
      </c>
      <c r="F119" s="7">
        <v>0</v>
      </c>
      <c r="H119" s="6">
        <v>1888</v>
      </c>
      <c r="I119" s="7">
        <v>617.93700000000001</v>
      </c>
      <c r="J119" s="7">
        <v>595.72500000000002</v>
      </c>
      <c r="K119" s="7">
        <v>0</v>
      </c>
      <c r="L119" s="7">
        <v>0</v>
      </c>
      <c r="N119" s="13"/>
      <c r="Q119" s="12"/>
    </row>
    <row r="120" spans="1:17" ht="16" thickBot="1">
      <c r="A120">
        <v>113</v>
      </c>
      <c r="B120" s="6">
        <v>1887</v>
      </c>
      <c r="C120" s="7">
        <v>1000</v>
      </c>
      <c r="D120" s="7">
        <v>1000</v>
      </c>
      <c r="E120" s="7">
        <v>0</v>
      </c>
      <c r="F120" s="7">
        <v>0</v>
      </c>
      <c r="H120" s="6">
        <v>1887</v>
      </c>
      <c r="I120" s="7">
        <v>648.06399999999996</v>
      </c>
      <c r="J120" s="7">
        <v>632.43899999999996</v>
      </c>
      <c r="K120" s="7">
        <v>0</v>
      </c>
      <c r="L120" s="7">
        <v>0</v>
      </c>
      <c r="N120" s="13"/>
      <c r="Q120" s="12"/>
    </row>
    <row r="121" spans="1:17" ht="16" thickBot="1">
      <c r="A121">
        <v>114</v>
      </c>
      <c r="B121" s="17">
        <v>1886</v>
      </c>
      <c r="C121" s="18">
        <v>1000</v>
      </c>
      <c r="D121" s="18">
        <v>1000</v>
      </c>
      <c r="E121" s="18">
        <v>0</v>
      </c>
      <c r="F121" s="18">
        <v>0</v>
      </c>
      <c r="H121" s="6">
        <v>1886</v>
      </c>
      <c r="I121" s="7">
        <v>679.65899999999999</v>
      </c>
      <c r="J121" s="7">
        <v>671.41600000000005</v>
      </c>
      <c r="K121" s="7">
        <v>0</v>
      </c>
      <c r="L121" s="7">
        <v>0</v>
      </c>
      <c r="N121" s="13"/>
      <c r="Q121" s="12"/>
    </row>
    <row r="122" spans="1:17" ht="16" thickBot="1">
      <c r="A122">
        <v>115</v>
      </c>
      <c r="B122" s="17">
        <v>1885</v>
      </c>
      <c r="C122" s="18">
        <v>1000</v>
      </c>
      <c r="D122" s="18">
        <v>1000</v>
      </c>
      <c r="E122" s="18">
        <v>0</v>
      </c>
      <c r="F122" s="18">
        <v>0</v>
      </c>
      <c r="H122" s="8">
        <v>1885</v>
      </c>
      <c r="I122" s="11">
        <v>1000</v>
      </c>
      <c r="J122" s="11">
        <v>1000</v>
      </c>
      <c r="K122" s="9">
        <v>0</v>
      </c>
      <c r="L122" s="9">
        <v>0</v>
      </c>
      <c r="N122" s="13"/>
      <c r="Q122" s="12"/>
    </row>
  </sheetData>
  <mergeCells count="4">
    <mergeCell ref="C4:D4"/>
    <mergeCell ref="E4:F4"/>
    <mergeCell ref="I4:J4"/>
    <mergeCell ref="K4:L4"/>
  </mergeCells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Generador</vt:lpstr>
      <vt:lpstr>Base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 g</dc:creator>
  <cp:lastModifiedBy>diego  g</cp:lastModifiedBy>
  <dcterms:created xsi:type="dcterms:W3CDTF">2016-10-08T11:09:52Z</dcterms:created>
  <dcterms:modified xsi:type="dcterms:W3CDTF">2016-10-11T10:55:26Z</dcterms:modified>
</cp:coreProperties>
</file>